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凤御会员权益" sheetId="7" r:id="rId1"/>
    <sheet name="床上用品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<sst xmlns="http://schemas.openxmlformats.org/spreadsheetml/2006/main" count="121" uniqueCount="71">
  <si>
    <t>凤御美业八大会员权益</t>
  </si>
  <si>
    <t>会员名称</t>
  </si>
  <si>
    <t>会员规则</t>
  </si>
  <si>
    <t>八大会员权益</t>
  </si>
  <si>
    <t>升级礼</t>
  </si>
  <si>
    <t>生日礼</t>
  </si>
  <si>
    <t>定制礼</t>
  </si>
  <si>
    <t>感恩日（爱你）</t>
  </si>
  <si>
    <t>分享礼</t>
  </si>
  <si>
    <t>消费积分礼</t>
  </si>
  <si>
    <t>路费积分礼</t>
  </si>
  <si>
    <t>周年纪念日</t>
  </si>
  <si>
    <t>凤御用户</t>
  </si>
  <si>
    <t>＜1990</t>
  </si>
  <si>
    <t>/</t>
  </si>
  <si>
    <t>初钻·会员</t>
  </si>
  <si>
    <t>1990-9999元</t>
  </si>
  <si>
    <t>尊享王牌任选2次</t>
  </si>
  <si>
    <t>价值580元王牌项目体验券</t>
  </si>
  <si>
    <t>每月20号到店护理，享优惠惊喜
（赠送当月主推项目单次会员价的50%现金券）</t>
  </si>
  <si>
    <t>每月一次你请客我买单
新客首单返30%代金券</t>
  </si>
  <si>
    <t>消费100元=1积分
1万元=100积分
以此类推</t>
  </si>
  <si>
    <t>每次到店享有护理路费20积分，以此类推；</t>
  </si>
  <si>
    <t>送价值300元家居现金券或一个招牌项目</t>
  </si>
  <si>
    <t>星钻·贵宾</t>
  </si>
  <si>
    <t>10000-29999元</t>
  </si>
  <si>
    <t>尊享王牌任选2次+家居单品券500元</t>
  </si>
  <si>
    <t>1、价值880元王牌项目体验券
2、当月家居产品/项目折扣9.5折</t>
  </si>
  <si>
    <t>送价值500元家居现金券或一个招牌项目</t>
  </si>
  <si>
    <t>粉钻·铁粉</t>
  </si>
  <si>
    <t>30000-59999元</t>
  </si>
  <si>
    <t>定制王牌任选2次+家居单品券600元</t>
  </si>
  <si>
    <r>
      <rPr>
        <b/>
        <sz val="14"/>
        <color rgb="FF000000"/>
        <rFont val="微软雅黑"/>
        <charset val="134"/>
      </rPr>
      <t xml:space="preserve">1、价值1280元明星项目体验券
2、当月家居产品/项目折扣9折
</t>
    </r>
    <r>
      <rPr>
        <b/>
        <sz val="14"/>
        <color theme="1"/>
        <rFont val="微软雅黑"/>
        <charset val="134"/>
      </rPr>
      <t>3、生日专属土鸡+</t>
    </r>
    <r>
      <rPr>
        <b/>
        <sz val="14"/>
        <color rgb="FF000000"/>
        <rFont val="微软雅黑"/>
        <charset val="134"/>
      </rPr>
      <t>蛋糕/鲜花</t>
    </r>
  </si>
  <si>
    <r>
      <rPr>
        <b/>
        <sz val="14"/>
        <color rgb="FF000000"/>
        <rFont val="微软雅黑"/>
        <charset val="134"/>
      </rPr>
      <t>1、</t>
    </r>
    <r>
      <rPr>
        <b/>
        <sz val="14"/>
        <color theme="1"/>
        <rFont val="微软雅黑"/>
        <charset val="134"/>
      </rPr>
      <t>专属床上用品</t>
    </r>
    <r>
      <rPr>
        <b/>
        <sz val="14"/>
        <color rgb="FF000000"/>
        <rFont val="微软雅黑"/>
        <charset val="134"/>
      </rPr>
      <t>+定制水杯+精美茶歇
3、一年四节礼物
（三八、端午、中秋、春节）</t>
    </r>
  </si>
  <si>
    <t>送价值500元家居现金券或一个王牌项目</t>
  </si>
  <si>
    <t>金钻·女神</t>
  </si>
  <si>
    <t>60000-99999元</t>
  </si>
  <si>
    <t>尊享明星项目单部位3次+家居单品券1500元</t>
  </si>
  <si>
    <t>1、价值1980元明星项目体验券
2、当月家居产品/项目折扣8.8折
3、生日专属土鸡+蛋糕/鲜花</t>
  </si>
  <si>
    <t>1、专属床上用品+定制水杯+拖鞋+毛巾+精美茶歇
2、一年四节礼物
（三八、端午、中秋、春节）
3、新品优先免费感受项目</t>
  </si>
  <si>
    <t>送价值1000元家居现金券或一个明星项目</t>
  </si>
  <si>
    <t>黑钻·女王</t>
  </si>
  <si>
    <t>10w+</t>
  </si>
  <si>
    <r>
      <rPr>
        <b/>
        <sz val="14"/>
        <color theme="1"/>
        <rFont val="微软雅黑"/>
        <charset val="134"/>
      </rPr>
      <t>定制明星美肤项目任选3次+</t>
    </r>
    <r>
      <rPr>
        <b/>
        <sz val="14"/>
        <color rgb="FF000000"/>
        <rFont val="微软雅黑"/>
        <charset val="134"/>
      </rPr>
      <t>家居单品券2000元</t>
    </r>
  </si>
  <si>
    <t>1、价值2980元明星项目体验券
2、当月家居产品/项目折扣8.5折
3、生日专属土鸡+蛋糕+鲜花</t>
  </si>
  <si>
    <t>规则</t>
  </si>
  <si>
    <t>当月20号-月底，仅限兑换指定主推品</t>
  </si>
  <si>
    <t>1.代金券新老客各15%，按单次会员价兑换所有项目；
2.同一个新客最多请客2次；
3.新客福利不可与门店其他福利同时享受（按最优选择）</t>
  </si>
  <si>
    <t>成为凤御会员当天，定为会员周年纪念日；现金券恕不找零，但可补差价。</t>
  </si>
  <si>
    <t>一、会员终身资格说明：
1、会员身份永久保留（不可转让）；即使余额为零，基础会员身份仍保留；
2、会员等级以365天滚动规则：始终以“当天”为终点，向前追溯365天；
3、所有会员等级对应的升级礼，每位会员终身仅可享受一次，在会员首次达到该等级时自动解锁享有，后续因降级再升级不再重复发放。
4、升级标准：消费达标后即时升级立即解锁新等级所有权益；
5、降级标准：消费不足降至符合当前累计值的对应等级，已领取的实物礼品无需退还，消费达标后可随时再次升级；
二、会员退款说明：
若中途有退卡现象影响等级变化降级，期间已享受的权益超出新等级权益，将按项目价值从退款中等扣除；
三、积分使用说明
1、自获取之日起365天后自动失效（不可转让）；
2、积分可用于消费抵现和积分兑换；</t>
  </si>
  <si>
    <t>面部</t>
  </si>
  <si>
    <t>身体</t>
  </si>
  <si>
    <t>通用</t>
  </si>
  <si>
    <t>合计
费用</t>
  </si>
  <si>
    <t>美容床</t>
  </si>
  <si>
    <t>共计</t>
  </si>
  <si>
    <t>白色珊瑚绒
小毛巾</t>
  </si>
  <si>
    <t>白色珊瑚绒
包头巾</t>
  </si>
  <si>
    <t>灰色珊瑚绒
小毛巾</t>
  </si>
  <si>
    <t>灰色珊瑚绒
大浴巾</t>
  </si>
  <si>
    <t>白色珊瑚绒
浴袍</t>
  </si>
  <si>
    <t>灰色和白色
床单（各1个）</t>
  </si>
  <si>
    <t>多功能套被</t>
  </si>
  <si>
    <t>美容床罩五件套</t>
  </si>
  <si>
    <t>数量</t>
  </si>
  <si>
    <t>费用</t>
  </si>
  <si>
    <r>
      <rPr>
        <b/>
        <sz val="14"/>
        <color rgb="FF000000"/>
        <rFont val="微软雅黑"/>
        <charset val="134"/>
      </rPr>
      <t>1、专属床上用品+定制水杯+精美茶歇</t>
    </r>
    <r>
      <rPr>
        <b/>
        <sz val="14"/>
        <color rgb="FF0070C0"/>
        <rFont val="微软雅黑"/>
        <charset val="134"/>
      </rPr>
      <t>（300元）</t>
    </r>
    <r>
      <rPr>
        <b/>
        <sz val="14"/>
        <color rgb="FF000000"/>
        <rFont val="微软雅黑"/>
        <charset val="134"/>
      </rPr>
      <t xml:space="preserve">
3、一年四节礼物-50元/次/个*4=</t>
    </r>
    <r>
      <rPr>
        <b/>
        <sz val="14"/>
        <color rgb="FF0070C0"/>
        <rFont val="微软雅黑"/>
        <charset val="134"/>
      </rPr>
      <t>200元</t>
    </r>
    <r>
      <rPr>
        <b/>
        <sz val="14"/>
        <color rgb="FF000000"/>
        <rFont val="微软雅黑"/>
        <charset val="134"/>
      </rPr>
      <t xml:space="preserve">
（三八、端午、中秋、春节）</t>
    </r>
  </si>
  <si>
    <r>
      <rPr>
        <b/>
        <sz val="14"/>
        <color rgb="FF000000"/>
        <rFont val="微软雅黑"/>
        <charset val="134"/>
      </rPr>
      <t>1、专属床上用品+定制水杯+拖鞋+精美茶歇</t>
    </r>
    <r>
      <rPr>
        <b/>
        <sz val="14"/>
        <color rgb="FF0070C0"/>
        <rFont val="微软雅黑"/>
        <charset val="134"/>
      </rPr>
      <t>（500元）</t>
    </r>
    <r>
      <rPr>
        <b/>
        <sz val="14"/>
        <color rgb="FF000000"/>
        <rFont val="微软雅黑"/>
        <charset val="134"/>
      </rPr>
      <t xml:space="preserve">
2、一年四节礼物-60元/次/个*4=</t>
    </r>
    <r>
      <rPr>
        <b/>
        <sz val="14"/>
        <color rgb="FF0070C0"/>
        <rFont val="微软雅黑"/>
        <charset val="134"/>
      </rPr>
      <t>240元</t>
    </r>
    <r>
      <rPr>
        <b/>
        <sz val="14"/>
        <color rgb="FF000000"/>
        <rFont val="微软雅黑"/>
        <charset val="134"/>
      </rPr>
      <t xml:space="preserve">
（三八、端午、中秋、春节）
3、优先免费感受项目</t>
    </r>
  </si>
  <si>
    <r>
      <rPr>
        <b/>
        <sz val="14"/>
        <color rgb="FF000000"/>
        <rFont val="微软雅黑"/>
        <charset val="134"/>
      </rPr>
      <t>1、专属床上用品+定制水杯+拖鞋+精美茶歇（800元）
2、一年四节礼物-80元/次/个*4=</t>
    </r>
    <r>
      <rPr>
        <b/>
        <sz val="14"/>
        <color rgb="FF0070C0"/>
        <rFont val="微软雅黑"/>
        <charset val="134"/>
      </rPr>
      <t>320元</t>
    </r>
    <r>
      <rPr>
        <b/>
        <sz val="14"/>
        <color rgb="FF000000"/>
        <rFont val="微软雅黑"/>
        <charset val="134"/>
      </rPr>
      <t xml:space="preserve">
（三八、端午、中秋、春节）
3、优先免费，感受项目</t>
    </r>
  </si>
  <si>
    <t>免费激光刻字，100条起订。绣字＋1元/条（500条起免费绣字）</t>
  </si>
  <si>
    <t>50条起免费绣字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</si>
</sst>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indexed="12"/>
      <name val="微软雅黑"/>
      <charset val="134"/>
    </font>
    <font>
      <b/>
      <sz val="14"/>
      <color rgb="FF000000"/>
      <name val="微软雅黑"/>
      <charset val="134"/>
    </font>
    <font>
      <sz val="10"/>
      <color indexed="8"/>
      <name val="Helvetica Neue"/>
      <charset val="134"/>
    </font>
    <font>
      <sz val="16"/>
      <color indexed="8"/>
      <name val="Helvetica Neue"/>
      <charset val="134"/>
    </font>
    <font>
      <sz val="14"/>
      <color indexed="8"/>
      <name val="Helvetica Neue"/>
      <charset val="134"/>
    </font>
    <font>
      <b/>
      <sz val="26"/>
      <color rgb="FF000000"/>
      <name val="微软雅黑"/>
      <charset val="134"/>
    </font>
    <font>
      <b/>
      <sz val="16"/>
      <color indexed="9"/>
      <name val="微软雅黑"/>
      <charset val="134"/>
    </font>
    <font>
      <b/>
      <sz val="16"/>
      <color indexed="8"/>
      <name val="微软雅黑"/>
      <charset val="134"/>
    </font>
    <font>
      <b/>
      <sz val="16"/>
      <color rgb="FFFFFFFF"/>
      <name val="微软雅黑"/>
      <charset val="134"/>
    </font>
    <font>
      <b/>
      <sz val="14"/>
      <color indexed="8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Helvetica Neue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70C0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0" borderId="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10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1" fillId="0" borderId="0">
      <alignment vertical="center"/>
    </xf>
    <xf numFmtId="0" fontId="22" fillId="11" borderId="12">
      <alignment vertical="center"/>
    </xf>
    <xf numFmtId="0" fontId="23" fillId="12" borderId="13">
      <alignment vertical="center"/>
    </xf>
    <xf numFmtId="0" fontId="24" fillId="12" borderId="12">
      <alignment vertical="center"/>
    </xf>
    <xf numFmtId="0" fontId="25" fillId="13" borderId="14">
      <alignment vertical="center"/>
    </xf>
    <xf numFmtId="0" fontId="26" fillId="0" borderId="15">
      <alignment vertical="center"/>
    </xf>
    <xf numFmtId="0" fontId="27" fillId="0" borderId="16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</cellStyleXfs>
  <cellXfs count="3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5" fillId="0" borderId="0" xfId="0" applyNumberFormat="1" applyFont="1" applyAlignment="1">
      <alignment vertical="top" wrapText="1"/>
    </xf>
    <xf numFmtId="0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vertical="top" wrapText="1"/>
    </xf>
    <xf numFmtId="49" fontId="7" fillId="7" borderId="6" xfId="0" applyNumberFormat="1" applyFont="1" applyFill="1" applyBorder="1" applyAlignment="1">
      <alignment horizontal="center" vertical="center" wrapText="1"/>
    </xf>
    <xf numFmtId="49" fontId="9" fillId="7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49" fontId="10" fillId="6" borderId="4" xfId="0" applyNumberFormat="1" applyFont="1" applyFill="1" applyBorder="1" applyAlignment="1">
      <alignment horizontal="center" vertical="center" wrapText="1"/>
    </xf>
    <xf numFmtId="49" fontId="10" fillId="9" borderId="4" xfId="0" applyNumberFormat="1" applyFont="1" applyFill="1" applyBorder="1" applyAlignment="1">
      <alignment horizontal="center" vertical="center" wrapText="1"/>
    </xf>
    <xf numFmtId="49" fontId="2" fillId="9" borderId="4" xfId="0" applyNumberFormat="1" applyFont="1" applyFill="1" applyBorder="1" applyAlignment="1">
      <alignment horizontal="left" vertical="center" wrapText="1"/>
    </xf>
    <xf numFmtId="49" fontId="2" fillId="9" borderId="4" xfId="0" applyNumberFormat="1" applyFont="1" applyFill="1" applyBorder="1" applyAlignment="1">
      <alignment vertical="center" wrapText="1"/>
    </xf>
    <xf numFmtId="49" fontId="11" fillId="9" borderId="4" xfId="0" applyNumberFormat="1" applyFont="1" applyFill="1" applyBorder="1" applyAlignment="1">
      <alignment horizontal="left" vertical="center" wrapText="1"/>
    </xf>
    <xf numFmtId="49" fontId="2" fillId="6" borderId="4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>
      <alignment horizontal="center" vertical="center" wrapText="1"/>
    </xf>
    <xf numFmtId="49" fontId="10" fillId="9" borderId="1" xfId="0" applyNumberFormat="1" applyFont="1" applyFill="1" applyBorder="1" applyAlignment="1">
      <alignment horizontal="left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left" vertical="center" wrapText="1"/>
    </xf>
    <xf numFmtId="49" fontId="11" fillId="6" borderId="7" xfId="0" applyNumberFormat="1" applyFont="1" applyFill="1" applyBorder="1" applyAlignment="1">
      <alignment horizontal="left" vertical="center" wrapText="1"/>
    </xf>
    <xf numFmtId="49" fontId="11" fillId="6" borderId="8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55" zoomScaleNormal="55" workbookViewId="0">
      <selection activeCell="D6" sqref="D6"/>
    </sheetView>
  </sheetViews>
  <sheetFormatPr defaultColWidth="16.3333333333333" defaultRowHeight="19.9" customHeight="1"/>
  <cols>
    <col min="1" max="1" width="15.2222222222222" style="13" customWidth="1"/>
    <col min="2" max="2" width="29" style="13" customWidth="1"/>
    <col min="3" max="3" width="46.462962962963" style="13" customWidth="1"/>
    <col min="4" max="4" width="50.4444444444444" style="13" customWidth="1"/>
    <col min="5" max="5" width="55.1111111111111" style="13" customWidth="1"/>
    <col min="6" max="6" width="40.3981481481481" style="13" customWidth="1"/>
    <col min="7" max="7" width="35.3518518518519" style="13" customWidth="1"/>
    <col min="8" max="8" width="33.2222222222222" style="13" customWidth="1"/>
    <col min="9" max="9" width="32.8888888888889" style="13" customWidth="1"/>
    <col min="10" max="10" width="36.7685185185185" style="13" customWidth="1"/>
    <col min="11" max="16381" width="16.3518518518519" style="13" customWidth="1"/>
    <col min="16382" max="16382" width="16.3518518518519" style="13"/>
    <col min="16383" max="16384" width="16.3333333333333" style="13"/>
  </cols>
  <sheetData>
    <row r="1" s="13" customFormat="1" ht="49" customHeight="1" spans="1:1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="14" customFormat="1" ht="25" customHeight="1" spans="1:10">
      <c r="A2" s="19" t="s">
        <v>1</v>
      </c>
      <c r="B2" s="19" t="s">
        <v>2</v>
      </c>
      <c r="C2" s="19" t="s">
        <v>3</v>
      </c>
      <c r="D2" s="19"/>
      <c r="E2" s="19"/>
      <c r="F2" s="19"/>
      <c r="G2" s="19"/>
      <c r="H2" s="19"/>
      <c r="I2" s="19"/>
      <c r="J2" s="19"/>
    </row>
    <row r="3" s="14" customFormat="1" ht="25" customHeight="1" spans="1:10">
      <c r="A3" s="20"/>
      <c r="B3" s="20"/>
      <c r="C3" s="21" t="s">
        <v>4</v>
      </c>
      <c r="D3" s="21" t="s">
        <v>5</v>
      </c>
      <c r="E3" s="21" t="s">
        <v>6</v>
      </c>
      <c r="F3" s="22" t="s">
        <v>7</v>
      </c>
      <c r="G3" s="21" t="s">
        <v>8</v>
      </c>
      <c r="H3" s="22" t="s">
        <v>9</v>
      </c>
      <c r="I3" s="22" t="s">
        <v>10</v>
      </c>
      <c r="J3" s="21" t="s">
        <v>11</v>
      </c>
    </row>
    <row r="4" s="14" customFormat="1" ht="49" customHeight="1" spans="1:10">
      <c r="A4" s="11" t="s">
        <v>12</v>
      </c>
      <c r="B4" s="23" t="s">
        <v>13</v>
      </c>
      <c r="C4" s="24" t="s">
        <v>14</v>
      </c>
      <c r="D4" s="24" t="s">
        <v>14</v>
      </c>
      <c r="E4" s="24" t="s">
        <v>14</v>
      </c>
      <c r="F4" s="24" t="s">
        <v>14</v>
      </c>
      <c r="G4" s="24" t="s">
        <v>14</v>
      </c>
      <c r="H4" s="24" t="s">
        <v>14</v>
      </c>
      <c r="I4" s="24" t="s">
        <v>14</v>
      </c>
      <c r="J4" s="24" t="s">
        <v>14</v>
      </c>
    </row>
    <row r="5" s="15" customFormat="1" ht="121" customHeight="1" spans="1:10">
      <c r="A5" s="11" t="s">
        <v>15</v>
      </c>
      <c r="B5" s="25" t="s">
        <v>16</v>
      </c>
      <c r="C5" s="26" t="s">
        <v>17</v>
      </c>
      <c r="D5" s="27" t="s">
        <v>18</v>
      </c>
      <c r="E5" s="24" t="s">
        <v>14</v>
      </c>
      <c r="F5" s="28" t="s">
        <v>19</v>
      </c>
      <c r="G5" s="28" t="s">
        <v>20</v>
      </c>
      <c r="H5" s="28" t="s">
        <v>21</v>
      </c>
      <c r="I5" s="26" t="s">
        <v>22</v>
      </c>
      <c r="J5" s="26" t="s">
        <v>23</v>
      </c>
    </row>
    <row r="6" s="15" customFormat="1" ht="93" customHeight="1" spans="1:10">
      <c r="A6" s="11" t="s">
        <v>24</v>
      </c>
      <c r="B6" s="25" t="s">
        <v>25</v>
      </c>
      <c r="C6" s="26" t="s">
        <v>26</v>
      </c>
      <c r="D6" s="26" t="s">
        <v>27</v>
      </c>
      <c r="E6" s="24" t="s">
        <v>14</v>
      </c>
      <c r="F6" s="28" t="s">
        <v>19</v>
      </c>
      <c r="G6" s="28" t="s">
        <v>20</v>
      </c>
      <c r="H6" s="28" t="s">
        <v>21</v>
      </c>
      <c r="I6" s="26" t="s">
        <v>22</v>
      </c>
      <c r="J6" s="26" t="s">
        <v>28</v>
      </c>
    </row>
    <row r="7" s="15" customFormat="1" ht="122" customHeight="1" spans="1:10">
      <c r="A7" s="11" t="s">
        <v>29</v>
      </c>
      <c r="B7" s="25" t="s">
        <v>30</v>
      </c>
      <c r="C7" s="26" t="s">
        <v>31</v>
      </c>
      <c r="D7" s="26" t="s">
        <v>32</v>
      </c>
      <c r="E7" s="29" t="s">
        <v>33</v>
      </c>
      <c r="F7" s="28" t="s">
        <v>19</v>
      </c>
      <c r="G7" s="28" t="s">
        <v>20</v>
      </c>
      <c r="H7" s="28" t="s">
        <v>21</v>
      </c>
      <c r="I7" s="26" t="s">
        <v>22</v>
      </c>
      <c r="J7" s="26" t="s">
        <v>34</v>
      </c>
    </row>
    <row r="8" s="15" customFormat="1" ht="137" customHeight="1" spans="1:10">
      <c r="A8" s="11" t="s">
        <v>35</v>
      </c>
      <c r="B8" s="25" t="s">
        <v>36</v>
      </c>
      <c r="C8" s="26" t="s">
        <v>37</v>
      </c>
      <c r="D8" s="26" t="s">
        <v>38</v>
      </c>
      <c r="E8" s="29" t="s">
        <v>39</v>
      </c>
      <c r="F8" s="28" t="s">
        <v>19</v>
      </c>
      <c r="G8" s="28" t="s">
        <v>20</v>
      </c>
      <c r="H8" s="28" t="s">
        <v>21</v>
      </c>
      <c r="I8" s="26" t="s">
        <v>22</v>
      </c>
      <c r="J8" s="26" t="s">
        <v>40</v>
      </c>
    </row>
    <row r="9" s="15" customFormat="1" ht="131" customHeight="1" spans="1:10">
      <c r="A9" s="11" t="s">
        <v>41</v>
      </c>
      <c r="B9" s="25" t="s">
        <v>42</v>
      </c>
      <c r="C9" s="28" t="s">
        <v>43</v>
      </c>
      <c r="D9" s="26" t="s">
        <v>44</v>
      </c>
      <c r="E9" s="29" t="s">
        <v>39</v>
      </c>
      <c r="F9" s="28" t="s">
        <v>19</v>
      </c>
      <c r="G9" s="28" t="s">
        <v>20</v>
      </c>
      <c r="H9" s="28" t="s">
        <v>21</v>
      </c>
      <c r="I9" s="26" t="s">
        <v>22</v>
      </c>
      <c r="J9" s="26" t="s">
        <v>40</v>
      </c>
    </row>
    <row r="10" s="16" customFormat="1" ht="126" customHeight="1" spans="1:10">
      <c r="A10" s="30" t="s">
        <v>45</v>
      </c>
      <c r="B10" s="31" t="s">
        <v>14</v>
      </c>
      <c r="C10" s="32" t="s">
        <v>14</v>
      </c>
      <c r="D10" s="33" t="s">
        <v>14</v>
      </c>
      <c r="E10" s="31" t="s">
        <v>14</v>
      </c>
      <c r="F10" s="34" t="s">
        <v>46</v>
      </c>
      <c r="G10" s="34" t="s">
        <v>47</v>
      </c>
      <c r="H10" s="35" t="s">
        <v>14</v>
      </c>
      <c r="I10" s="35" t="s">
        <v>14</v>
      </c>
      <c r="J10" s="36" t="s">
        <v>48</v>
      </c>
    </row>
    <row r="11" s="17" customFormat="1" ht="305" customHeight="1" spans="1:10">
      <c r="A11" s="37" t="s">
        <v>49</v>
      </c>
      <c r="B11" s="37"/>
      <c r="C11" s="37"/>
      <c r="D11" s="38"/>
      <c r="E11" s="37"/>
      <c r="F11" s="38"/>
      <c r="G11" s="38"/>
      <c r="H11" s="37"/>
      <c r="I11" s="38"/>
      <c r="J11" s="38"/>
    </row>
  </sheetData>
  <mergeCells count="5">
    <mergeCell ref="A1:J1"/>
    <mergeCell ref="C2:J2"/>
    <mergeCell ref="A11:J11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opLeftCell="C1" workbookViewId="0">
      <selection activeCell="E4" sqref="E4"/>
    </sheetView>
  </sheetViews>
  <sheetFormatPr defaultColWidth="8.88888888888889" defaultRowHeight="14.4" outlineLevelRow="6"/>
  <cols>
    <col min="1" max="1" width="8.88888888888889" hidden="1" customWidth="1"/>
    <col min="2" max="2" width="77.4444444444444" hidden="1" customWidth="1"/>
    <col min="3" max="3" width="12.6666666666667" style="1" customWidth="1"/>
    <col min="4" max="8" width="8.88888888888889" style="1"/>
    <col min="9" max="9" width="11.4444444444444" style="1" customWidth="1"/>
    <col min="10" max="14" width="8.88888888888889" style="1"/>
    <col min="15" max="15" width="8.88888888888889" style="1" customWidth="1"/>
    <col min="16" max="20" width="8.88888888888889" style="1"/>
  </cols>
  <sheetData>
    <row r="1" ht="25" customHeight="1" spans="1:20">
      <c r="C1" s="2" t="s">
        <v>50</v>
      </c>
      <c r="D1" s="2"/>
      <c r="E1" s="2"/>
      <c r="F1" s="2"/>
      <c r="G1" s="2" t="s">
        <v>51</v>
      </c>
      <c r="H1" s="2"/>
      <c r="I1" s="2"/>
      <c r="J1" s="2"/>
      <c r="K1" s="2" t="s">
        <v>52</v>
      </c>
      <c r="L1" s="2"/>
      <c r="M1" s="2"/>
      <c r="N1" s="2"/>
      <c r="O1" s="3" t="s">
        <v>53</v>
      </c>
      <c r="P1" s="2" t="s">
        <v>54</v>
      </c>
      <c r="Q1" s="2"/>
      <c r="R1" s="2"/>
      <c r="S1" s="2"/>
      <c r="T1" s="2" t="s">
        <v>55</v>
      </c>
    </row>
    <row r="2" ht="34" customHeight="1" spans="1:20">
      <c r="C2" s="4" t="s">
        <v>56</v>
      </c>
      <c r="D2" s="5"/>
      <c r="E2" s="4" t="s">
        <v>57</v>
      </c>
      <c r="F2" s="5"/>
      <c r="G2" s="6" t="s">
        <v>58</v>
      </c>
      <c r="H2" s="7"/>
      <c r="I2" s="8" t="s">
        <v>59</v>
      </c>
      <c r="J2" s="9"/>
      <c r="K2" s="4" t="s">
        <v>60</v>
      </c>
      <c r="L2" s="5"/>
      <c r="M2" s="4" t="s">
        <v>61</v>
      </c>
      <c r="N2" s="5"/>
      <c r="O2" s="2"/>
      <c r="P2" s="10" t="s">
        <v>62</v>
      </c>
      <c r="Q2" s="10"/>
      <c r="R2" s="5" t="s">
        <v>63</v>
      </c>
      <c r="S2" s="5"/>
      <c r="T2" s="2"/>
    </row>
    <row r="3" ht="21" customHeight="1" spans="1:20">
      <c r="C3" s="2" t="s">
        <v>64</v>
      </c>
      <c r="D3" s="2" t="s">
        <v>65</v>
      </c>
      <c r="E3" s="2" t="s">
        <v>64</v>
      </c>
      <c r="F3" s="2" t="s">
        <v>65</v>
      </c>
      <c r="G3" s="2" t="s">
        <v>64</v>
      </c>
      <c r="H3" s="2" t="s">
        <v>65</v>
      </c>
      <c r="I3" s="2" t="s">
        <v>64</v>
      </c>
      <c r="J3" s="2" t="s">
        <v>65</v>
      </c>
      <c r="K3" s="2" t="s">
        <v>64</v>
      </c>
      <c r="L3" s="2" t="s">
        <v>65</v>
      </c>
      <c r="M3" s="2" t="s">
        <v>64</v>
      </c>
      <c r="N3" s="2" t="s">
        <v>65</v>
      </c>
      <c r="O3" s="2"/>
      <c r="P3" s="2" t="s">
        <v>64</v>
      </c>
      <c r="Q3" s="2" t="s">
        <v>65</v>
      </c>
      <c r="R3" s="2" t="s">
        <v>64</v>
      </c>
      <c r="S3" s="2" t="s">
        <v>65</v>
      </c>
      <c r="T3" s="2"/>
    </row>
    <row r="4" ht="71" customHeight="1" spans="1:20">
      <c r="A4" s="11" t="s">
        <v>29</v>
      </c>
      <c r="B4" s="12" t="s">
        <v>66</v>
      </c>
      <c r="C4" s="2">
        <v>2</v>
      </c>
      <c r="D4" s="2">
        <f t="shared" ref="D4:D6" si="0">C4*7</f>
        <v>14</v>
      </c>
      <c r="E4" s="2">
        <v>1</v>
      </c>
      <c r="F4" s="2">
        <f t="shared" ref="F4:F6" si="1">8*E4</f>
        <v>8</v>
      </c>
      <c r="G4" s="2">
        <v>2</v>
      </c>
      <c r="H4" s="2">
        <f t="shared" ref="H4:H6" si="2">G4*7</f>
        <v>14</v>
      </c>
      <c r="I4" s="2">
        <v>1</v>
      </c>
      <c r="J4" s="2">
        <f t="shared" ref="J4:J6" si="3">I4*35</f>
        <v>35</v>
      </c>
      <c r="K4" s="2">
        <v>1</v>
      </c>
      <c r="L4" s="2">
        <f t="shared" ref="L4:L6" si="4">35*K4</f>
        <v>35</v>
      </c>
      <c r="M4" s="2">
        <v>2</v>
      </c>
      <c r="N4" s="2">
        <f t="shared" ref="N4:N6" si="5">20*M4</f>
        <v>40</v>
      </c>
      <c r="O4" s="2">
        <f t="shared" ref="O4:O6" si="6">D4+F4+H4+J4+L4+N4</f>
        <v>146</v>
      </c>
      <c r="P4" s="2">
        <v>1</v>
      </c>
      <c r="Q4" s="2">
        <f>35*P4</f>
        <v>35</v>
      </c>
      <c r="R4" s="2">
        <v>1</v>
      </c>
      <c r="S4" s="2">
        <f>380*R4</f>
        <v>380</v>
      </c>
      <c r="T4" s="2">
        <f>O4+Q4+S4</f>
        <v>561</v>
      </c>
    </row>
    <row r="5" ht="91" customHeight="1" spans="1:20">
      <c r="A5" s="11" t="s">
        <v>35</v>
      </c>
      <c r="B5" s="12" t="s">
        <v>67</v>
      </c>
      <c r="C5" s="2">
        <v>2</v>
      </c>
      <c r="D5" s="2">
        <f t="shared" si="0"/>
        <v>14</v>
      </c>
      <c r="E5" s="2">
        <v>1</v>
      </c>
      <c r="F5" s="2">
        <f t="shared" si="1"/>
        <v>8</v>
      </c>
      <c r="G5" s="2">
        <v>2</v>
      </c>
      <c r="H5" s="2">
        <f t="shared" si="2"/>
        <v>14</v>
      </c>
      <c r="I5" s="2">
        <v>1</v>
      </c>
      <c r="J5" s="2">
        <f t="shared" si="3"/>
        <v>35</v>
      </c>
      <c r="K5" s="2">
        <v>1</v>
      </c>
      <c r="L5" s="2">
        <f t="shared" si="4"/>
        <v>35</v>
      </c>
      <c r="M5" s="2">
        <v>2</v>
      </c>
      <c r="N5" s="2">
        <f t="shared" si="5"/>
        <v>40</v>
      </c>
      <c r="O5" s="2">
        <f t="shared" si="6"/>
        <v>146</v>
      </c>
    </row>
    <row r="6" ht="87" customHeight="1" spans="1:20">
      <c r="A6" s="11" t="s">
        <v>41</v>
      </c>
      <c r="B6" s="12" t="s">
        <v>68</v>
      </c>
      <c r="C6" s="2">
        <v>2</v>
      </c>
      <c r="D6" s="2">
        <f t="shared" si="0"/>
        <v>14</v>
      </c>
      <c r="E6" s="2">
        <v>1</v>
      </c>
      <c r="F6" s="2">
        <f t="shared" si="1"/>
        <v>8</v>
      </c>
      <c r="G6" s="2">
        <v>2</v>
      </c>
      <c r="H6" s="2">
        <f t="shared" si="2"/>
        <v>14</v>
      </c>
      <c r="I6" s="2">
        <v>1</v>
      </c>
      <c r="J6" s="2">
        <f t="shared" si="3"/>
        <v>35</v>
      </c>
      <c r="K6" s="2">
        <v>1</v>
      </c>
      <c r="L6" s="2">
        <f t="shared" si="4"/>
        <v>35</v>
      </c>
      <c r="M6" s="2">
        <v>2</v>
      </c>
      <c r="N6" s="2">
        <f t="shared" si="5"/>
        <v>40</v>
      </c>
      <c r="O6" s="2">
        <f t="shared" si="6"/>
        <v>146</v>
      </c>
    </row>
    <row r="7" ht="33" customHeight="1" spans="1:20">
      <c r="C7" s="1" t="s">
        <v>69</v>
      </c>
      <c r="M7" s="1" t="s">
        <v>70</v>
      </c>
    </row>
  </sheetData>
  <mergeCells count="16">
    <mergeCell ref="C1:F1"/>
    <mergeCell ref="G1:J1"/>
    <mergeCell ref="K1:N1"/>
    <mergeCell ref="P1:S1"/>
    <mergeCell ref="C2:D2"/>
    <mergeCell ref="E2:F2"/>
    <mergeCell ref="G2:H2"/>
    <mergeCell ref="I2:J2"/>
    <mergeCell ref="K2:L2"/>
    <mergeCell ref="M2:N2"/>
    <mergeCell ref="P2:Q2"/>
    <mergeCell ref="R2:S2"/>
    <mergeCell ref="C7:L7"/>
    <mergeCell ref="M7:N7"/>
    <mergeCell ref="O1:O3"/>
    <mergeCell ref="T1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凤御会员权益</vt:lpstr>
      <vt:lpstr>床上用品1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卓晓晶</cp:lastModifiedBy>
  <dcterms:created xsi:type="dcterms:W3CDTF">2023-05-12T11:15:00Z</dcterms:created>
  <dcterms:modified xsi:type="dcterms:W3CDTF">2026-03-09T11:08:25Z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C3F1628DE68541F6B23C7DA62CA4EB3A_13</vt:lpwstr>
  </property>
  <property fmtid="{D5CDD505-2E9C-101B-9397-08002B2CF9AE}" pid="4" name="CalculationRule">
    <vt:i4>0</vt:i4>
  </property>
</Properties>
</file>