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<sst xmlns="http://schemas.openxmlformats.org/spreadsheetml/2006/main" count="402" uniqueCount="122">
  <si>
    <t>订单管理(表头设定）</t>
  </si>
  <si>
    <t>市场</t>
  </si>
  <si>
    <t>门店</t>
  </si>
  <si>
    <t>订单号</t>
  </si>
  <si>
    <t>类型</t>
  </si>
  <si>
    <t>单据类型</t>
  </si>
  <si>
    <t>顾客</t>
  </si>
  <si>
    <t>顾客手机</t>
  </si>
  <si>
    <t>商品类型</t>
  </si>
  <si>
    <t>品项(一级)</t>
  </si>
  <si>
    <t>品项(二级)</t>
  </si>
  <si>
    <t>商品明细</t>
  </si>
  <si>
    <t>总次数</t>
  </si>
  <si>
    <t>可用次数</t>
  </si>
  <si>
    <t>订单金额</t>
  </si>
  <si>
    <t>储值卡抵扣</t>
  </si>
  <si>
    <t>实付</t>
  </si>
  <si>
    <t>已退</t>
  </si>
  <si>
    <t>单次价格</t>
  </si>
  <si>
    <t>状态</t>
  </si>
  <si>
    <t>支付方式</t>
  </si>
  <si>
    <t>是否纳客</t>
  </si>
  <si>
    <t>是否活动</t>
  </si>
  <si>
    <t>经营类型</t>
  </si>
  <si>
    <t>顾客类型</t>
  </si>
  <si>
    <t>开单人</t>
  </si>
  <si>
    <t>下单时间</t>
  </si>
  <si>
    <t>创建时间</t>
  </si>
  <si>
    <t>备注</t>
  </si>
  <si>
    <t>九江</t>
  </si>
  <si>
    <t>南昌英伦店</t>
  </si>
  <si>
    <t>FY-XSD-WX-2606080028</t>
  </si>
  <si>
    <t>销售单</t>
  </si>
  <si>
    <t>售后</t>
  </si>
  <si>
    <t>张凯顾客</t>
  </si>
  <si>
    <t>13617216903</t>
  </si>
  <si>
    <t>疗程卡</t>
  </si>
  <si>
    <t>圣源养心</t>
  </si>
  <si>
    <t>【王牌】疼痛管理</t>
  </si>
  <si>
    <t>部分支付</t>
  </si>
  <si>
    <t>线下支付</t>
  </si>
  <si>
    <t>否</t>
  </si>
  <si>
    <t>自销自耗</t>
  </si>
  <si>
    <t>会员客</t>
  </si>
  <si>
    <t>张凯</t>
  </si>
  <si>
    <t>2026-06-09 01:08:48</t>
  </si>
  <si>
    <t/>
  </si>
  <si>
    <t>南昌蓝茉店</t>
  </si>
  <si>
    <t>FY-XSD-WX-2606080027</t>
  </si>
  <si>
    <t>售前</t>
  </si>
  <si>
    <t>李广硕</t>
  </si>
  <si>
    <t>17562721931</t>
  </si>
  <si>
    <t>缦之羽</t>
  </si>
  <si>
    <t>三维色素管理全脸</t>
  </si>
  <si>
    <t>已支付</t>
  </si>
  <si>
    <t>他销他耗</t>
  </si>
  <si>
    <t>流量客</t>
  </si>
  <si>
    <t>2026-06-09 00:59:40</t>
  </si>
  <si>
    <t>南昌世纪店</t>
  </si>
  <si>
    <t>FY-XSD-WX-2606080026</t>
  </si>
  <si>
    <t>王女士</t>
  </si>
  <si>
    <t>13151094335</t>
  </si>
  <si>
    <t>科颜美</t>
  </si>
  <si>
    <t>精灵眼</t>
  </si>
  <si>
    <t>已关闭</t>
  </si>
  <si>
    <t>微信支付</t>
  </si>
  <si>
    <t>王雯馨</t>
  </si>
  <si>
    <t>2026-06-09 00:19:21</t>
  </si>
  <si>
    <t>FY-XSD-WX-2606080025</t>
  </si>
  <si>
    <t>充值单</t>
  </si>
  <si>
    <t>单品</t>
  </si>
  <si>
    <t>法米索呵护膏</t>
  </si>
  <si>
    <t>2026-06-09 00:17:56</t>
  </si>
  <si>
    <t>需增加</t>
  </si>
  <si>
    <t>营业额分配(表头设定）</t>
  </si>
  <si>
    <t>分配状态</t>
  </si>
  <si>
    <t>员工姓名</t>
  </si>
  <si>
    <t>员工职位</t>
  </si>
  <si>
    <t>分配占比</t>
  </si>
  <si>
    <t>分配额</t>
  </si>
  <si>
    <t>提成比例</t>
  </si>
  <si>
    <t>提成金额</t>
  </si>
  <si>
    <t>支付时间</t>
  </si>
  <si>
    <t>待分配</t>
  </si>
  <si>
    <t>熊岚欢</t>
  </si>
  <si>
    <t>美容师</t>
  </si>
  <si>
    <t>2026-06-09 00:59:49</t>
  </si>
  <si>
    <t>FY-XSD-WX-2606080024</t>
  </si>
  <si>
    <t>涂怀平</t>
  </si>
  <si>
    <t>养生师</t>
  </si>
  <si>
    <t>2026-06-09 00:14:58</t>
  </si>
  <si>
    <t>FY-XSD-WX-2606080022</t>
  </si>
  <si>
    <t>熊彩虹</t>
  </si>
  <si>
    <t>督导</t>
  </si>
  <si>
    <t>2026-06-09 00:03:23</t>
  </si>
  <si>
    <t>FY-XSD-WX-2606080019</t>
  </si>
  <si>
    <t>万鹏</t>
  </si>
  <si>
    <t>美艺初级老师</t>
  </si>
  <si>
    <t>2026-06-08 23:52:30</t>
  </si>
  <si>
    <t>服务单管理(表头设定)</t>
  </si>
  <si>
    <t>服务单号</t>
  </si>
  <si>
    <t>消耗次数</t>
  </si>
  <si>
    <t>消耗金额</t>
  </si>
  <si>
    <t>负责美容师</t>
  </si>
  <si>
    <t>顾客评星</t>
  </si>
  <si>
    <t>顾客评价</t>
  </si>
  <si>
    <t>来源订单号</t>
  </si>
  <si>
    <t>服务日期</t>
  </si>
  <si>
    <t>HLD-WX-2606080003</t>
  </si>
  <si>
    <t>已完成</t>
  </si>
  <si>
    <t>-</t>
  </si>
  <si>
    <t>2026-06-08</t>
  </si>
  <si>
    <t>2026-06-08 23:26:32</t>
  </si>
  <si>
    <t>HLD-WX-2606080002</t>
  </si>
  <si>
    <t>15958024944</t>
  </si>
  <si>
    <t>测试-店长</t>
  </si>
  <si>
    <t>2026-06-08 18:08:44</t>
  </si>
  <si>
    <t>HLD-WX-2606080001</t>
  </si>
  <si>
    <t>5星</t>
  </si>
  <si>
    <t>2026-06-08 09:34:30</t>
  </si>
  <si>
    <t>3星</t>
  </si>
  <si>
    <t>关联销售单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</si>
</sst>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#"/>
    <numFmt numFmtId="179" formatCode="[&gt;=0]0;[&lt;0]\-0"/>
  </numFmts>
  <fonts count="3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b/>
      <sz val="20"/>
      <color rgb="FFFF0000"/>
      <name val="微软雅黑"/>
      <charset val="134"/>
    </font>
    <font>
      <b/>
      <sz val="11"/>
      <name val="微软雅黑"/>
      <charset val="134"/>
    </font>
    <font>
      <b/>
      <sz val="10"/>
      <name val="微软雅黑"/>
      <charset val="134"/>
    </font>
    <font>
      <b/>
      <sz val="11"/>
      <color rgb="FFC00000"/>
      <name val="微软雅黑"/>
      <charset val="134"/>
    </font>
    <font>
      <b/>
      <sz val="9"/>
      <color rgb="FFC00000"/>
      <name val="微软雅黑"/>
      <charset val="134"/>
    </font>
    <font>
      <b/>
      <sz val="9"/>
      <name val="微软雅黑"/>
      <charset val="134"/>
    </font>
    <font>
      <b/>
      <sz val="9"/>
      <color rgb="FFFF0000"/>
      <name val="微软雅黑"/>
      <charset val="134"/>
    </font>
    <font>
      <b/>
      <sz val="11"/>
      <color rgb="FF000000"/>
      <name val="微软雅黑"/>
      <charset val="134"/>
    </font>
    <font>
      <b/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6C2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9" borderId="6" applyNumberFormat="0" applyAlignment="0" applyProtection="0">
      <alignment vertical="center"/>
    </xf>
    <xf numFmtId="0" fontId="23" fillId="10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4" fillId="3" borderId="0" xfId="0" applyFont="1" applyFill="1">
      <alignment vertical="center"/>
    </xf>
    <xf numFmtId="0" fontId="5" fillId="3" borderId="0" xfId="0" applyFont="1" applyFill="1" applyAlignment="1">
      <alignment vertical="center" wrapText="1"/>
    </xf>
    <xf numFmtId="176" fontId="6" fillId="4" borderId="1" xfId="0" applyNumberFormat="1" applyFont="1" applyFill="1" applyBorder="1" applyAlignment="1">
      <alignment horizontal="left" vertical="top" wrapText="1"/>
    </xf>
    <xf numFmtId="176" fontId="4" fillId="4" borderId="1" xfId="0" applyNumberFormat="1" applyFont="1" applyFill="1" applyBorder="1" applyAlignment="1">
      <alignment horizontal="left" vertical="top" wrapText="1"/>
    </xf>
    <xf numFmtId="177" fontId="6" fillId="4" borderId="1" xfId="0" applyNumberFormat="1" applyFont="1" applyFill="1" applyBorder="1" applyAlignment="1">
      <alignment horizontal="left" vertical="top"/>
    </xf>
    <xf numFmtId="176" fontId="6" fillId="4" borderId="1" xfId="0" applyNumberFormat="1" applyFont="1" applyFill="1" applyBorder="1" applyAlignment="1">
      <alignment horizontal="left" vertical="top"/>
    </xf>
    <xf numFmtId="178" fontId="7" fillId="0" borderId="2" xfId="0" applyNumberFormat="1" applyFont="1" applyBorder="1" applyAlignment="1">
      <alignment horizontal="left" vertical="center"/>
    </xf>
    <xf numFmtId="14" fontId="8" fillId="0" borderId="2" xfId="0" applyNumberFormat="1" applyFont="1" applyBorder="1" applyAlignment="1">
      <alignment horizontal="left" vertical="center"/>
    </xf>
    <xf numFmtId="178" fontId="8" fillId="0" borderId="2" xfId="0" applyNumberFormat="1" applyFont="1" applyBorder="1" applyAlignment="1">
      <alignment horizontal="left" vertical="center"/>
    </xf>
    <xf numFmtId="14" fontId="7" fillId="0" borderId="2" xfId="0" applyNumberFormat="1" applyFont="1" applyBorder="1" applyAlignment="1">
      <alignment horizontal="left" vertical="center"/>
    </xf>
    <xf numFmtId="177" fontId="7" fillId="0" borderId="2" xfId="0" applyNumberFormat="1" applyFont="1" applyBorder="1" applyAlignment="1">
      <alignment horizontal="left" vertical="center"/>
    </xf>
    <xf numFmtId="0" fontId="8" fillId="0" borderId="2" xfId="0" applyNumberFormat="1" applyFont="1" applyBorder="1" applyAlignment="1">
      <alignment horizontal="left" vertical="center"/>
    </xf>
    <xf numFmtId="179" fontId="7" fillId="0" borderId="2" xfId="0" applyNumberFormat="1" applyFont="1" applyBorder="1" applyAlignment="1">
      <alignment horizontal="left" vertical="center"/>
    </xf>
    <xf numFmtId="0" fontId="8" fillId="0" borderId="2" xfId="0" applyNumberFormat="1" applyFont="1" applyBorder="1" applyAlignment="1">
      <alignment horizontal="left" vertical="center"/>
    </xf>
    <xf numFmtId="178" fontId="9" fillId="5" borderId="2" xfId="0" applyNumberFormat="1" applyFont="1" applyFill="1" applyBorder="1" applyAlignment="1">
      <alignment horizontal="left" vertical="center"/>
    </xf>
    <xf numFmtId="14" fontId="8" fillId="0" borderId="2" xfId="0" applyNumberFormat="1" applyFont="1" applyBorder="1" applyAlignment="1">
      <alignment horizontal="left" vertical="center"/>
    </xf>
    <xf numFmtId="178" fontId="8" fillId="0" borderId="2" xfId="0" applyNumberFormat="1" applyFont="1" applyBorder="1" applyAlignment="1">
      <alignment horizontal="left" vertical="center"/>
    </xf>
    <xf numFmtId="14" fontId="9" fillId="5" borderId="2" xfId="0" applyNumberFormat="1" applyFont="1" applyFill="1" applyBorder="1" applyAlignment="1">
      <alignment horizontal="left" vertical="center"/>
    </xf>
    <xf numFmtId="177" fontId="9" fillId="5" borderId="2" xfId="0" applyNumberFormat="1" applyFont="1" applyFill="1" applyBorder="1" applyAlignment="1">
      <alignment horizontal="left" vertical="center"/>
    </xf>
    <xf numFmtId="176" fontId="10" fillId="4" borderId="1" xfId="0" applyNumberFormat="1" applyFont="1" applyFill="1" applyBorder="1" applyAlignment="1">
      <alignment horizontal="left" vertical="top" wrapText="1"/>
    </xf>
    <xf numFmtId="178" fontId="11" fillId="0" borderId="2" xfId="0" applyNumberFormat="1" applyFont="1" applyBorder="1" applyAlignment="1">
      <alignment horizontal="left" vertical="center"/>
    </xf>
    <xf numFmtId="178" fontId="7" fillId="0" borderId="2" xfId="0" applyNumberFormat="1" applyFont="1" applyBorder="1" applyAlignment="1">
      <alignment horizontal="left" vertical="center"/>
    </xf>
    <xf numFmtId="9" fontId="7" fillId="0" borderId="2" xfId="3" applyFont="1" applyBorder="1" applyAlignment="1">
      <alignment horizontal="left" vertical="center"/>
    </xf>
    <xf numFmtId="9" fontId="7" fillId="0" borderId="2" xfId="3" applyNumberFormat="1" applyFont="1" applyBorder="1" applyAlignment="1">
      <alignment horizontal="left" vertical="center"/>
    </xf>
    <xf numFmtId="178" fontId="7" fillId="5" borderId="2" xfId="0" applyNumberFormat="1" applyFont="1" applyFill="1" applyBorder="1" applyAlignment="1">
      <alignment horizontal="left" vertical="center"/>
    </xf>
    <xf numFmtId="9" fontId="7" fillId="0" borderId="2" xfId="3" applyFont="1" applyBorder="1" applyAlignment="1">
      <alignment horizontal="left" vertical="center"/>
    </xf>
    <xf numFmtId="9" fontId="7" fillId="0" borderId="2" xfId="3" applyNumberFormat="1" applyFont="1" applyBorder="1" applyAlignment="1">
      <alignment horizontal="left" vertical="center"/>
    </xf>
    <xf numFmtId="0" fontId="1" fillId="6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5"/>
  <sheetViews>
    <sheetView tabSelected="1" zoomScale="85" zoomScaleNormal="85" workbookViewId="0">
      <selection activeCell="H23" sqref="H23"/>
    </sheetView>
  </sheetViews>
  <sheetFormatPr defaultColWidth="9" defaultRowHeight="22" customHeight="1"/>
  <cols>
    <col min="1" max="1" width="0.75" style="2" customWidth="1"/>
    <col min="2" max="2" width="4.7" style="2" customWidth="1"/>
    <col min="3" max="3" width="8.875" style="2" customWidth="1"/>
    <col min="4" max="4" width="11.0166666666667" style="2" customWidth="1"/>
    <col min="5" max="5" width="5.875" style="2" customWidth="1"/>
    <col min="6" max="6" width="8.125" style="2" customWidth="1"/>
    <col min="7" max="7" width="7.375" style="2" customWidth="1"/>
    <col min="8" max="8" width="11.125" style="2" customWidth="1"/>
    <col min="9" max="9" width="6.75" style="2" customWidth="1"/>
    <col min="10" max="10" width="6.375" style="2" customWidth="1"/>
    <col min="11" max="17" width="8.125" style="2" customWidth="1"/>
    <col min="18" max="18" width="10.625" style="2" customWidth="1"/>
    <col min="19" max="19" width="8.75" style="2" customWidth="1"/>
    <col min="20" max="20" width="8.125" style="2" customWidth="1"/>
    <col min="21" max="21" width="11.25" style="2" customWidth="1"/>
    <col min="22" max="22" width="8.125" style="2" customWidth="1"/>
    <col min="23" max="26" width="8.875" style="2" customWidth="1"/>
    <col min="27" max="27" width="8.125" style="2" customWidth="1"/>
    <col min="28" max="28" width="9.99166666666667" style="2" customWidth="1"/>
    <col min="29" max="29" width="10.1416666666667" style="2" customWidth="1"/>
    <col min="30" max="30" width="8.125" style="2" customWidth="1"/>
    <col min="31" max="31" width="6.25" style="2" customWidth="1"/>
    <col min="32" max="33" width="8.125" style="2" customWidth="1"/>
    <col min="34" max="16384" width="9" style="2"/>
  </cols>
  <sheetData>
    <row r="1" ht="29.25" spans="1:36">
      <c r="A1" s="3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6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="1" customFormat="1" ht="33" customHeight="1" spans="1:36"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9" t="s">
        <v>18</v>
      </c>
      <c r="T2" s="8" t="s">
        <v>19</v>
      </c>
      <c r="U2" s="8" t="s">
        <v>20</v>
      </c>
      <c r="V2" s="9" t="s">
        <v>21</v>
      </c>
      <c r="W2" s="9" t="s">
        <v>22</v>
      </c>
      <c r="X2" s="10" t="s">
        <v>23</v>
      </c>
      <c r="Y2" s="10" t="s">
        <v>24</v>
      </c>
      <c r="Z2" s="8" t="s">
        <v>25</v>
      </c>
      <c r="AA2" s="8" t="s">
        <v>26</v>
      </c>
      <c r="AB2" s="8" t="s">
        <v>27</v>
      </c>
      <c r="AC2" s="8" t="s">
        <v>28</v>
      </c>
    </row>
    <row r="3" customHeight="1" spans="1:36">
      <c r="B3" s="11" t="s">
        <v>29</v>
      </c>
      <c r="C3" s="12" t="s">
        <v>30</v>
      </c>
      <c r="D3" s="13" t="s">
        <v>31</v>
      </c>
      <c r="E3" s="12" t="s">
        <v>32</v>
      </c>
      <c r="F3" s="12" t="s">
        <v>33</v>
      </c>
      <c r="G3" s="12" t="s">
        <v>34</v>
      </c>
      <c r="H3" s="12" t="s">
        <v>35</v>
      </c>
      <c r="I3" s="14" t="s">
        <v>36</v>
      </c>
      <c r="J3" s="14" t="s">
        <v>37</v>
      </c>
      <c r="K3" s="14" t="s">
        <v>37</v>
      </c>
      <c r="L3" s="14" t="s">
        <v>38</v>
      </c>
      <c r="M3" s="15">
        <v>10</v>
      </c>
      <c r="N3" s="15">
        <v>10</v>
      </c>
      <c r="O3" s="16">
        <v>5200</v>
      </c>
      <c r="P3" s="16">
        <v>0</v>
      </c>
      <c r="Q3" s="16">
        <v>3600</v>
      </c>
      <c r="R3" s="16">
        <v>0</v>
      </c>
      <c r="S3" s="17">
        <v>300</v>
      </c>
      <c r="T3" s="12" t="s">
        <v>39</v>
      </c>
      <c r="U3" s="12" t="s">
        <v>40</v>
      </c>
      <c r="V3" s="11" t="s">
        <v>41</v>
      </c>
      <c r="W3" s="11" t="s">
        <v>41</v>
      </c>
      <c r="X3" s="14" t="s">
        <v>42</v>
      </c>
      <c r="Y3" s="14" t="s">
        <v>43</v>
      </c>
      <c r="Z3" s="12" t="s">
        <v>44</v>
      </c>
      <c r="AA3" s="12" t="s">
        <v>45</v>
      </c>
      <c r="AB3" s="12" t="s">
        <v>45</v>
      </c>
      <c r="AC3" s="12" t="s">
        <v>46</v>
      </c>
    </row>
    <row r="4" customHeight="1" spans="1:36">
      <c r="B4" s="11" t="s">
        <v>29</v>
      </c>
      <c r="C4" s="12" t="s">
        <v>47</v>
      </c>
      <c r="D4" s="13" t="s">
        <v>48</v>
      </c>
      <c r="E4" s="12" t="s">
        <v>32</v>
      </c>
      <c r="F4" s="12" t="s">
        <v>49</v>
      </c>
      <c r="G4" s="12" t="s">
        <v>50</v>
      </c>
      <c r="H4" s="12" t="s">
        <v>51</v>
      </c>
      <c r="I4" s="14" t="s">
        <v>36</v>
      </c>
      <c r="J4" s="14" t="s">
        <v>52</v>
      </c>
      <c r="K4" s="14" t="s">
        <v>52</v>
      </c>
      <c r="L4" s="14" t="s">
        <v>53</v>
      </c>
      <c r="M4" s="15">
        <v>2</v>
      </c>
      <c r="N4" s="15">
        <v>2</v>
      </c>
      <c r="O4" s="18">
        <v>68</v>
      </c>
      <c r="P4" s="18">
        <v>0</v>
      </c>
      <c r="Q4" s="18">
        <v>68</v>
      </c>
      <c r="R4" s="18">
        <v>0</v>
      </c>
      <c r="S4" s="17">
        <v>3000</v>
      </c>
      <c r="T4" s="12" t="s">
        <v>54</v>
      </c>
      <c r="U4" s="12" t="s">
        <v>40</v>
      </c>
      <c r="V4" s="11" t="s">
        <v>41</v>
      </c>
      <c r="W4" s="11" t="s">
        <v>41</v>
      </c>
      <c r="X4" s="14" t="s">
        <v>55</v>
      </c>
      <c r="Y4" s="14" t="s">
        <v>56</v>
      </c>
      <c r="Z4" s="12" t="s">
        <v>50</v>
      </c>
      <c r="AA4" s="12" t="s">
        <v>57</v>
      </c>
      <c r="AB4" s="12" t="s">
        <v>57</v>
      </c>
      <c r="AC4" s="12" t="s">
        <v>46</v>
      </c>
    </row>
    <row r="5" customHeight="1" spans="1:36">
      <c r="B5" s="11" t="s">
        <v>29</v>
      </c>
      <c r="C5" s="12" t="s">
        <v>58</v>
      </c>
      <c r="D5" s="13" t="s">
        <v>59</v>
      </c>
      <c r="E5" s="12" t="s">
        <v>32</v>
      </c>
      <c r="F5" s="12" t="s">
        <v>33</v>
      </c>
      <c r="G5" s="12" t="s">
        <v>60</v>
      </c>
      <c r="H5" s="12" t="s">
        <v>61</v>
      </c>
      <c r="I5" s="14" t="s">
        <v>36</v>
      </c>
      <c r="J5" s="14" t="s">
        <v>62</v>
      </c>
      <c r="K5" s="14" t="s">
        <v>62</v>
      </c>
      <c r="L5" s="14" t="s">
        <v>63</v>
      </c>
      <c r="M5" s="15">
        <v>1</v>
      </c>
      <c r="N5" s="15">
        <v>1</v>
      </c>
      <c r="O5" s="18">
        <v>5000</v>
      </c>
      <c r="P5" s="18">
        <v>3640</v>
      </c>
      <c r="Q5" s="18">
        <v>0</v>
      </c>
      <c r="R5" s="18">
        <v>0</v>
      </c>
      <c r="S5" s="17">
        <v>680</v>
      </c>
      <c r="T5" s="12" t="s">
        <v>64</v>
      </c>
      <c r="U5" s="12" t="s">
        <v>65</v>
      </c>
      <c r="V5" s="11" t="s">
        <v>41</v>
      </c>
      <c r="W5" s="11" t="s">
        <v>41</v>
      </c>
      <c r="X5" s="14" t="s">
        <v>55</v>
      </c>
      <c r="Y5" s="14" t="s">
        <v>43</v>
      </c>
      <c r="Z5" s="12" t="s">
        <v>66</v>
      </c>
      <c r="AA5" s="12" t="s">
        <v>67</v>
      </c>
      <c r="AB5" s="12" t="s">
        <v>67</v>
      </c>
      <c r="AC5" s="12" t="s">
        <v>46</v>
      </c>
    </row>
    <row r="6" customHeight="1" spans="1:36">
      <c r="B6" s="11" t="s">
        <v>29</v>
      </c>
      <c r="C6" s="12" t="s">
        <v>58</v>
      </c>
      <c r="D6" s="13" t="s">
        <v>68</v>
      </c>
      <c r="E6" s="12" t="s">
        <v>69</v>
      </c>
      <c r="F6" s="12" t="s">
        <v>33</v>
      </c>
      <c r="G6" s="12" t="s">
        <v>60</v>
      </c>
      <c r="H6" s="12" t="s">
        <v>61</v>
      </c>
      <c r="I6" s="14" t="s">
        <v>70</v>
      </c>
      <c r="J6" s="14" t="s">
        <v>52</v>
      </c>
      <c r="K6" s="14" t="s">
        <v>52</v>
      </c>
      <c r="L6" s="14" t="s">
        <v>71</v>
      </c>
      <c r="M6" s="15">
        <v>1</v>
      </c>
      <c r="N6" s="15">
        <v>1</v>
      </c>
      <c r="O6" s="18">
        <v>5000</v>
      </c>
      <c r="P6" s="18">
        <v>0</v>
      </c>
      <c r="Q6" s="18">
        <v>0</v>
      </c>
      <c r="R6" s="18">
        <v>0</v>
      </c>
      <c r="S6" s="17">
        <v>380</v>
      </c>
      <c r="T6" s="12" t="s">
        <v>64</v>
      </c>
      <c r="U6" s="12" t="s">
        <v>40</v>
      </c>
      <c r="V6" s="11" t="s">
        <v>41</v>
      </c>
      <c r="W6" s="11" t="s">
        <v>41</v>
      </c>
      <c r="X6" s="14" t="s">
        <v>42</v>
      </c>
      <c r="Y6" s="14" t="s">
        <v>43</v>
      </c>
      <c r="Z6" s="12" t="s">
        <v>66</v>
      </c>
      <c r="AA6" s="12" t="s">
        <v>72</v>
      </c>
      <c r="AB6" s="12" t="s">
        <v>72</v>
      </c>
      <c r="AC6" s="12" t="s">
        <v>46</v>
      </c>
    </row>
    <row r="7" customHeight="1" spans="1:36">
      <c r="B7" s="19" t="s">
        <v>73</v>
      </c>
      <c r="C7" s="20"/>
      <c r="D7" s="21"/>
      <c r="E7" s="20"/>
      <c r="F7" s="20"/>
      <c r="G7" s="20"/>
      <c r="H7" s="20"/>
      <c r="I7" s="22" t="s">
        <v>73</v>
      </c>
      <c r="J7" s="22" t="s">
        <v>73</v>
      </c>
      <c r="K7" s="22" t="s">
        <v>73</v>
      </c>
      <c r="L7" s="22" t="s">
        <v>73</v>
      </c>
      <c r="M7" s="23" t="s">
        <v>73</v>
      </c>
      <c r="N7" s="23" t="s">
        <v>73</v>
      </c>
      <c r="O7" s="20"/>
      <c r="P7" s="20"/>
      <c r="Q7" s="20"/>
      <c r="R7" s="20"/>
      <c r="S7" s="22" t="s">
        <v>73</v>
      </c>
      <c r="T7" s="20"/>
      <c r="U7" s="20"/>
      <c r="V7" s="22" t="s">
        <v>73</v>
      </c>
      <c r="W7" s="22" t="s">
        <v>73</v>
      </c>
      <c r="X7" s="22" t="s">
        <v>73</v>
      </c>
      <c r="Y7" s="22" t="s">
        <v>73</v>
      </c>
      <c r="Z7" s="20"/>
      <c r="AA7" s="20"/>
      <c r="AB7" s="20"/>
      <c r="AC7" s="20"/>
    </row>
    <row r="9" customHeight="1" spans="1:36">
      <c r="B9" s="4" t="s">
        <v>74</v>
      </c>
    </row>
    <row r="10" ht="33" customHeight="1" spans="1:36">
      <c r="B10" s="7" t="s">
        <v>1</v>
      </c>
      <c r="C10" s="8" t="s">
        <v>2</v>
      </c>
      <c r="D10" s="24" t="s">
        <v>3</v>
      </c>
      <c r="E10" s="7" t="s">
        <v>4</v>
      </c>
      <c r="F10" s="7" t="s">
        <v>5</v>
      </c>
      <c r="G10" s="8" t="s">
        <v>6</v>
      </c>
      <c r="H10" s="7" t="s">
        <v>7</v>
      </c>
      <c r="I10" s="7" t="s">
        <v>8</v>
      </c>
      <c r="J10" s="7" t="s">
        <v>9</v>
      </c>
      <c r="K10" s="7" t="s">
        <v>10</v>
      </c>
      <c r="L10" s="7" t="s">
        <v>11</v>
      </c>
      <c r="M10" s="7" t="s">
        <v>12</v>
      </c>
      <c r="N10" s="7" t="s">
        <v>13</v>
      </c>
      <c r="O10" s="7" t="s">
        <v>14</v>
      </c>
      <c r="P10" s="7" t="s">
        <v>15</v>
      </c>
      <c r="Q10" s="7" t="s">
        <v>16</v>
      </c>
      <c r="R10" s="7" t="s">
        <v>17</v>
      </c>
      <c r="S10" s="7" t="s">
        <v>18</v>
      </c>
      <c r="T10" s="7" t="s">
        <v>19</v>
      </c>
      <c r="U10" s="8" t="s">
        <v>75</v>
      </c>
      <c r="V10" s="7" t="s">
        <v>76</v>
      </c>
      <c r="W10" s="7" t="s">
        <v>77</v>
      </c>
      <c r="X10" s="7" t="s">
        <v>78</v>
      </c>
      <c r="Y10" s="7" t="s">
        <v>79</v>
      </c>
      <c r="Z10" s="7" t="s">
        <v>80</v>
      </c>
      <c r="AA10" s="7" t="s">
        <v>81</v>
      </c>
      <c r="AB10" s="7" t="s">
        <v>21</v>
      </c>
      <c r="AC10" s="7" t="s">
        <v>22</v>
      </c>
      <c r="AD10" s="7" t="s">
        <v>23</v>
      </c>
      <c r="AE10" s="7" t="s">
        <v>24</v>
      </c>
      <c r="AF10" s="8" t="s">
        <v>25</v>
      </c>
      <c r="AG10" s="8" t="s">
        <v>82</v>
      </c>
      <c r="AH10" s="7" t="s">
        <v>28</v>
      </c>
    </row>
    <row r="11" customHeight="1" spans="1:36">
      <c r="B11" s="11" t="s">
        <v>29</v>
      </c>
      <c r="C11" s="13" t="s">
        <v>30</v>
      </c>
      <c r="D11" s="25" t="s">
        <v>48</v>
      </c>
      <c r="E11" s="11" t="s">
        <v>32</v>
      </c>
      <c r="F11" s="11" t="s">
        <v>33</v>
      </c>
      <c r="G11" s="13" t="s">
        <v>34</v>
      </c>
      <c r="H11" s="11" t="s">
        <v>35</v>
      </c>
      <c r="I11" s="11" t="s">
        <v>36</v>
      </c>
      <c r="J11" s="11" t="s">
        <v>37</v>
      </c>
      <c r="K11" s="11" t="s">
        <v>37</v>
      </c>
      <c r="L11" s="11" t="s">
        <v>38</v>
      </c>
      <c r="M11" s="26">
        <v>10</v>
      </c>
      <c r="N11" s="26">
        <v>10</v>
      </c>
      <c r="O11" s="26">
        <v>5200</v>
      </c>
      <c r="P11" s="26">
        <v>0</v>
      </c>
      <c r="Q11" s="26">
        <v>3600</v>
      </c>
      <c r="R11" s="26">
        <v>0</v>
      </c>
      <c r="S11" s="26">
        <v>300</v>
      </c>
      <c r="T11" s="11" t="s">
        <v>39</v>
      </c>
      <c r="U11" s="13" t="s">
        <v>83</v>
      </c>
      <c r="V11" s="11" t="s">
        <v>84</v>
      </c>
      <c r="W11" s="11" t="s">
        <v>85</v>
      </c>
      <c r="X11" s="27">
        <v>0.3</v>
      </c>
      <c r="Y11" s="26">
        <f>+Q11*X11</f>
        <v>1080</v>
      </c>
      <c r="Z11" s="28">
        <v>0.15</v>
      </c>
      <c r="AA11" s="26">
        <f>+Y11*Z11</f>
        <v>162</v>
      </c>
      <c r="AB11" s="26" t="s">
        <v>41</v>
      </c>
      <c r="AC11" s="26" t="s">
        <v>41</v>
      </c>
      <c r="AD11" s="26" t="s">
        <v>42</v>
      </c>
      <c r="AE11" s="26" t="s">
        <v>43</v>
      </c>
      <c r="AF11" s="13" t="s">
        <v>44</v>
      </c>
      <c r="AG11" s="13" t="s">
        <v>86</v>
      </c>
      <c r="AH11" s="14" t="s">
        <v>46</v>
      </c>
    </row>
    <row r="12" customHeight="1" spans="1:36">
      <c r="B12" s="11" t="s">
        <v>29</v>
      </c>
      <c r="C12" s="13" t="s">
        <v>47</v>
      </c>
      <c r="D12" s="25" t="s">
        <v>87</v>
      </c>
      <c r="E12" s="11" t="s">
        <v>32</v>
      </c>
      <c r="F12" s="11" t="s">
        <v>49</v>
      </c>
      <c r="G12" s="13" t="s">
        <v>50</v>
      </c>
      <c r="H12" s="11" t="s">
        <v>51</v>
      </c>
      <c r="I12" s="11" t="s">
        <v>36</v>
      </c>
      <c r="J12" s="11" t="s">
        <v>52</v>
      </c>
      <c r="K12" s="11" t="s">
        <v>52</v>
      </c>
      <c r="L12" s="11" t="s">
        <v>53</v>
      </c>
      <c r="M12" s="26">
        <v>2</v>
      </c>
      <c r="N12" s="26">
        <v>2</v>
      </c>
      <c r="O12" s="26">
        <v>68</v>
      </c>
      <c r="P12" s="26">
        <v>0</v>
      </c>
      <c r="Q12" s="26">
        <v>68</v>
      </c>
      <c r="R12" s="26">
        <v>0</v>
      </c>
      <c r="S12" s="26">
        <v>3000</v>
      </c>
      <c r="T12" s="11" t="s">
        <v>54</v>
      </c>
      <c r="U12" s="13" t="s">
        <v>83</v>
      </c>
      <c r="V12" s="11" t="s">
        <v>88</v>
      </c>
      <c r="W12" s="11" t="s">
        <v>89</v>
      </c>
      <c r="X12" s="28">
        <v>1</v>
      </c>
      <c r="Y12" s="26">
        <f>+Q12*X12</f>
        <v>68</v>
      </c>
      <c r="Z12" s="26">
        <v>0</v>
      </c>
      <c r="AA12" s="26">
        <f>+Y12*Z12</f>
        <v>0</v>
      </c>
      <c r="AB12" s="26" t="s">
        <v>41</v>
      </c>
      <c r="AC12" s="26" t="s">
        <v>41</v>
      </c>
      <c r="AD12" s="26" t="s">
        <v>42</v>
      </c>
      <c r="AE12" s="26" t="s">
        <v>56</v>
      </c>
      <c r="AF12" s="13" t="s">
        <v>50</v>
      </c>
      <c r="AG12" s="13" t="s">
        <v>90</v>
      </c>
      <c r="AH12" s="14" t="s">
        <v>46</v>
      </c>
    </row>
    <row r="13" customHeight="1" spans="1:36">
      <c r="B13" s="11" t="s">
        <v>29</v>
      </c>
      <c r="C13" s="13" t="s">
        <v>58</v>
      </c>
      <c r="D13" s="25" t="s">
        <v>91</v>
      </c>
      <c r="E13" s="11" t="s">
        <v>32</v>
      </c>
      <c r="F13" s="11" t="s">
        <v>33</v>
      </c>
      <c r="G13" s="13" t="s">
        <v>60</v>
      </c>
      <c r="H13" s="11" t="s">
        <v>61</v>
      </c>
      <c r="I13" s="11" t="s">
        <v>36</v>
      </c>
      <c r="J13" s="11" t="s">
        <v>62</v>
      </c>
      <c r="K13" s="11" t="s">
        <v>62</v>
      </c>
      <c r="L13" s="11" t="s">
        <v>63</v>
      </c>
      <c r="M13" s="26">
        <v>1</v>
      </c>
      <c r="N13" s="26">
        <v>1</v>
      </c>
      <c r="O13" s="26">
        <v>5000</v>
      </c>
      <c r="P13" s="26">
        <v>3640</v>
      </c>
      <c r="Q13" s="26">
        <v>0</v>
      </c>
      <c r="R13" s="26">
        <v>0</v>
      </c>
      <c r="S13" s="26">
        <v>680</v>
      </c>
      <c r="T13" s="11" t="s">
        <v>64</v>
      </c>
      <c r="U13" s="13" t="s">
        <v>83</v>
      </c>
      <c r="V13" s="11" t="s">
        <v>92</v>
      </c>
      <c r="W13" s="11" t="s">
        <v>93</v>
      </c>
      <c r="X13" s="27">
        <v>1</v>
      </c>
      <c r="Y13" s="26">
        <f>+Q13*X13</f>
        <v>0</v>
      </c>
      <c r="Z13" s="26"/>
      <c r="AA13" s="26">
        <f>+Y13*Z13</f>
        <v>0</v>
      </c>
      <c r="AB13" s="26" t="s">
        <v>41</v>
      </c>
      <c r="AC13" s="26" t="s">
        <v>41</v>
      </c>
      <c r="AD13" s="26" t="s">
        <v>55</v>
      </c>
      <c r="AE13" s="26" t="s">
        <v>43</v>
      </c>
      <c r="AF13" s="13" t="s">
        <v>66</v>
      </c>
      <c r="AG13" s="13" t="s">
        <v>94</v>
      </c>
      <c r="AH13" s="14" t="s">
        <v>46</v>
      </c>
    </row>
    <row r="14" customHeight="1" spans="1:36">
      <c r="B14" s="11" t="s">
        <v>29</v>
      </c>
      <c r="C14" s="13" t="s">
        <v>58</v>
      </c>
      <c r="D14" s="25" t="s">
        <v>95</v>
      </c>
      <c r="E14" s="11" t="s">
        <v>69</v>
      </c>
      <c r="F14" s="11" t="s">
        <v>33</v>
      </c>
      <c r="G14" s="13" t="s">
        <v>60</v>
      </c>
      <c r="H14" s="11" t="s">
        <v>61</v>
      </c>
      <c r="I14" s="11" t="s">
        <v>70</v>
      </c>
      <c r="J14" s="11" t="s">
        <v>52</v>
      </c>
      <c r="K14" s="11" t="s">
        <v>52</v>
      </c>
      <c r="L14" s="11" t="s">
        <v>71</v>
      </c>
      <c r="M14" s="26">
        <v>1</v>
      </c>
      <c r="N14" s="26">
        <v>1</v>
      </c>
      <c r="O14" s="26">
        <v>5000</v>
      </c>
      <c r="P14" s="26">
        <v>0</v>
      </c>
      <c r="Q14" s="26">
        <v>0</v>
      </c>
      <c r="R14" s="26">
        <v>0</v>
      </c>
      <c r="S14" s="26">
        <v>380</v>
      </c>
      <c r="T14" s="11" t="s">
        <v>64</v>
      </c>
      <c r="U14" s="13" t="s">
        <v>83</v>
      </c>
      <c r="V14" s="11" t="s">
        <v>96</v>
      </c>
      <c r="W14" s="11" t="s">
        <v>97</v>
      </c>
      <c r="X14" s="27">
        <v>1</v>
      </c>
      <c r="Y14" s="26">
        <f>+Q14*X14</f>
        <v>0</v>
      </c>
      <c r="Z14" s="26"/>
      <c r="AA14" s="26">
        <f>+Y14*Z14</f>
        <v>0</v>
      </c>
      <c r="AB14" s="26" t="s">
        <v>41</v>
      </c>
      <c r="AC14" s="26" t="s">
        <v>41</v>
      </c>
      <c r="AD14" s="26" t="s">
        <v>55</v>
      </c>
      <c r="AE14" s="26" t="s">
        <v>43</v>
      </c>
      <c r="AF14" s="13" t="s">
        <v>66</v>
      </c>
      <c r="AG14" s="13" t="s">
        <v>98</v>
      </c>
      <c r="AH14" s="14" t="s">
        <v>46</v>
      </c>
    </row>
    <row r="15" customHeight="1" spans="1:36">
      <c r="B15" s="19" t="s">
        <v>73</v>
      </c>
      <c r="C15" s="2"/>
      <c r="E15" s="19" t="s">
        <v>73</v>
      </c>
      <c r="F15" s="19" t="s">
        <v>73</v>
      </c>
      <c r="G15" s="2"/>
      <c r="H15" s="19" t="s">
        <v>73</v>
      </c>
      <c r="I15" s="19" t="s">
        <v>73</v>
      </c>
      <c r="J15" s="19" t="s">
        <v>73</v>
      </c>
      <c r="K15" s="19" t="s">
        <v>73</v>
      </c>
      <c r="L15" s="19" t="s">
        <v>73</v>
      </c>
      <c r="M15" s="19" t="s">
        <v>73</v>
      </c>
      <c r="N15" s="19" t="s">
        <v>73</v>
      </c>
      <c r="O15" s="19" t="s">
        <v>73</v>
      </c>
      <c r="P15" s="19" t="s">
        <v>73</v>
      </c>
      <c r="Q15" s="19" t="s">
        <v>73</v>
      </c>
      <c r="R15" s="19" t="s">
        <v>73</v>
      </c>
      <c r="S15" s="19" t="s">
        <v>73</v>
      </c>
      <c r="T15" s="19" t="s">
        <v>73</v>
      </c>
      <c r="U15" s="2"/>
      <c r="V15" s="19" t="s">
        <v>73</v>
      </c>
      <c r="W15" s="19" t="s">
        <v>73</v>
      </c>
      <c r="X15" s="19" t="s">
        <v>73</v>
      </c>
      <c r="Y15" s="19" t="s">
        <v>73</v>
      </c>
      <c r="Z15" s="19" t="s">
        <v>73</v>
      </c>
      <c r="AA15" s="19" t="s">
        <v>73</v>
      </c>
      <c r="AB15" s="19" t="s">
        <v>73</v>
      </c>
      <c r="AC15" s="19" t="s">
        <v>73</v>
      </c>
      <c r="AD15" s="19" t="s">
        <v>73</v>
      </c>
      <c r="AE15" s="19" t="s">
        <v>73</v>
      </c>
      <c r="AH15" s="29" t="s">
        <v>73</v>
      </c>
    </row>
    <row r="17" ht="30" customHeight="1" spans="2:31">
      <c r="B17" s="4" t="s">
        <v>99</v>
      </c>
    </row>
    <row r="18" ht="31" customHeight="1" spans="2:31">
      <c r="B18" s="7" t="s">
        <v>1</v>
      </c>
      <c r="C18" s="24" t="s">
        <v>2</v>
      </c>
      <c r="D18" s="24" t="s">
        <v>100</v>
      </c>
      <c r="E18" s="7" t="s">
        <v>4</v>
      </c>
      <c r="F18" s="24" t="s">
        <v>4</v>
      </c>
      <c r="G18" s="24" t="s">
        <v>6</v>
      </c>
      <c r="H18" s="24" t="s">
        <v>7</v>
      </c>
      <c r="I18" s="7" t="s">
        <v>8</v>
      </c>
      <c r="J18" s="7" t="s">
        <v>9</v>
      </c>
      <c r="K18" s="7" t="s">
        <v>10</v>
      </c>
      <c r="L18" s="7" t="s">
        <v>11</v>
      </c>
      <c r="M18" s="7" t="s">
        <v>101</v>
      </c>
      <c r="N18" s="7" t="s">
        <v>102</v>
      </c>
      <c r="O18" s="7" t="s">
        <v>18</v>
      </c>
      <c r="P18" s="24" t="s">
        <v>19</v>
      </c>
      <c r="Q18" s="24" t="s">
        <v>103</v>
      </c>
      <c r="R18" s="7" t="s">
        <v>77</v>
      </c>
      <c r="S18" s="7" t="s">
        <v>78</v>
      </c>
      <c r="T18" s="7" t="s">
        <v>79</v>
      </c>
      <c r="U18" s="7" t="s">
        <v>80</v>
      </c>
      <c r="V18" s="7" t="s">
        <v>81</v>
      </c>
      <c r="W18" s="7" t="s">
        <v>104</v>
      </c>
      <c r="X18" s="7" t="s">
        <v>105</v>
      </c>
      <c r="Y18" s="7" t="s">
        <v>23</v>
      </c>
      <c r="Z18" s="7" t="s">
        <v>24</v>
      </c>
      <c r="AA18" s="7" t="s">
        <v>25</v>
      </c>
      <c r="AB18" s="7" t="s">
        <v>106</v>
      </c>
      <c r="AC18" s="24" t="s">
        <v>107</v>
      </c>
      <c r="AD18" s="24" t="s">
        <v>27</v>
      </c>
      <c r="AE18" s="7" t="s">
        <v>28</v>
      </c>
    </row>
    <row r="19" customHeight="1" spans="2:31">
      <c r="B19" s="11" t="s">
        <v>29</v>
      </c>
      <c r="C19" s="25" t="s">
        <v>58</v>
      </c>
      <c r="D19" s="25" t="s">
        <v>108</v>
      </c>
      <c r="E19" s="11" t="s">
        <v>32</v>
      </c>
      <c r="F19" s="25" t="s">
        <v>33</v>
      </c>
      <c r="G19" s="25" t="s">
        <v>60</v>
      </c>
      <c r="H19" s="25" t="s">
        <v>61</v>
      </c>
      <c r="I19" s="11" t="s">
        <v>36</v>
      </c>
      <c r="J19" s="11" t="s">
        <v>37</v>
      </c>
      <c r="K19" s="11" t="s">
        <v>37</v>
      </c>
      <c r="L19" s="11" t="s">
        <v>38</v>
      </c>
      <c r="M19" s="11">
        <v>1</v>
      </c>
      <c r="N19" s="11">
        <v>300</v>
      </c>
      <c r="O19" s="11">
        <v>300</v>
      </c>
      <c r="P19" s="25" t="s">
        <v>109</v>
      </c>
      <c r="Q19" s="25" t="s">
        <v>66</v>
      </c>
      <c r="R19" s="11" t="s">
        <v>85</v>
      </c>
      <c r="S19" s="30">
        <v>0.3</v>
      </c>
      <c r="T19" s="11">
        <v>1080</v>
      </c>
      <c r="U19" s="31">
        <v>0.15</v>
      </c>
      <c r="V19" s="11">
        <f>+T19*U19</f>
        <v>162</v>
      </c>
      <c r="W19" s="11" t="s">
        <v>110</v>
      </c>
      <c r="X19" s="11"/>
      <c r="Y19" s="11" t="s">
        <v>42</v>
      </c>
      <c r="Z19" s="11" t="s">
        <v>43</v>
      </c>
      <c r="AA19" s="11" t="s">
        <v>44</v>
      </c>
      <c r="AB19" s="11"/>
      <c r="AC19" s="25" t="s">
        <v>111</v>
      </c>
      <c r="AD19" s="25" t="s">
        <v>112</v>
      </c>
      <c r="AE19" s="14" t="s">
        <v>46</v>
      </c>
    </row>
    <row r="20" customHeight="1" spans="2:31">
      <c r="B20" s="11" t="s">
        <v>29</v>
      </c>
      <c r="C20" s="25" t="s">
        <v>47</v>
      </c>
      <c r="D20" s="25" t="s">
        <v>113</v>
      </c>
      <c r="E20" s="11" t="s">
        <v>32</v>
      </c>
      <c r="F20" s="25" t="s">
        <v>49</v>
      </c>
      <c r="G20" s="25" t="s">
        <v>46</v>
      </c>
      <c r="H20" s="25" t="s">
        <v>114</v>
      </c>
      <c r="I20" s="11" t="s">
        <v>36</v>
      </c>
      <c r="J20" s="11" t="s">
        <v>52</v>
      </c>
      <c r="K20" s="11" t="s">
        <v>52</v>
      </c>
      <c r="L20" s="11" t="s">
        <v>53</v>
      </c>
      <c r="M20" s="11">
        <v>2</v>
      </c>
      <c r="N20" s="11">
        <v>2000</v>
      </c>
      <c r="O20" s="11">
        <v>1000</v>
      </c>
      <c r="P20" s="25" t="s">
        <v>109</v>
      </c>
      <c r="Q20" s="25" t="s">
        <v>115</v>
      </c>
      <c r="R20" s="11" t="s">
        <v>89</v>
      </c>
      <c r="S20" s="30">
        <v>1</v>
      </c>
      <c r="T20" s="11"/>
      <c r="U20" s="11">
        <v>0</v>
      </c>
      <c r="V20" s="11">
        <v>0</v>
      </c>
      <c r="W20" s="11" t="s">
        <v>110</v>
      </c>
      <c r="X20" s="11"/>
      <c r="Y20" s="11" t="s">
        <v>42</v>
      </c>
      <c r="Z20" s="11" t="s">
        <v>56</v>
      </c>
      <c r="AA20" s="11" t="s">
        <v>50</v>
      </c>
      <c r="AB20" s="11"/>
      <c r="AC20" s="25" t="s">
        <v>111</v>
      </c>
      <c r="AD20" s="25" t="s">
        <v>116</v>
      </c>
      <c r="AE20" s="14" t="s">
        <v>46</v>
      </c>
    </row>
    <row r="21" customHeight="1" spans="2:31">
      <c r="B21" s="11" t="s">
        <v>29</v>
      </c>
      <c r="C21" s="25" t="s">
        <v>47</v>
      </c>
      <c r="D21" s="25" t="s">
        <v>117</v>
      </c>
      <c r="E21" s="11" t="s">
        <v>32</v>
      </c>
      <c r="F21" s="25" t="s">
        <v>49</v>
      </c>
      <c r="G21" s="25" t="s">
        <v>46</v>
      </c>
      <c r="H21" s="25" t="s">
        <v>114</v>
      </c>
      <c r="I21" s="11" t="s">
        <v>36</v>
      </c>
      <c r="J21" s="11" t="s">
        <v>62</v>
      </c>
      <c r="K21" s="11" t="s">
        <v>62</v>
      </c>
      <c r="L21" s="11" t="s">
        <v>63</v>
      </c>
      <c r="M21" s="11">
        <v>1</v>
      </c>
      <c r="N21" s="11">
        <v>680</v>
      </c>
      <c r="O21" s="11">
        <v>680</v>
      </c>
      <c r="P21" s="25" t="s">
        <v>109</v>
      </c>
      <c r="Q21" s="25" t="s">
        <v>115</v>
      </c>
      <c r="R21" s="11" t="s">
        <v>93</v>
      </c>
      <c r="S21" s="30">
        <v>1</v>
      </c>
      <c r="T21" s="11">
        <v>0</v>
      </c>
      <c r="U21" s="11"/>
      <c r="V21" s="11">
        <v>0</v>
      </c>
      <c r="W21" s="11" t="s">
        <v>118</v>
      </c>
      <c r="X21" s="11"/>
      <c r="Y21" s="11" t="s">
        <v>55</v>
      </c>
      <c r="Z21" s="11" t="s">
        <v>43</v>
      </c>
      <c r="AA21" s="11" t="s">
        <v>66</v>
      </c>
      <c r="AB21" s="11"/>
      <c r="AC21" s="25" t="s">
        <v>111</v>
      </c>
      <c r="AD21" s="25" t="s">
        <v>119</v>
      </c>
      <c r="AE21" s="14" t="s">
        <v>46</v>
      </c>
    </row>
    <row r="22" customHeight="1" spans="2:31">
      <c r="B22" s="11" t="s">
        <v>29</v>
      </c>
      <c r="C22" s="25"/>
      <c r="D22" s="25"/>
      <c r="E22" s="11" t="s">
        <v>69</v>
      </c>
      <c r="F22" s="25"/>
      <c r="G22" s="25"/>
      <c r="H22" s="25"/>
      <c r="I22" s="11" t="s">
        <v>70</v>
      </c>
      <c r="J22" s="11" t="s">
        <v>52</v>
      </c>
      <c r="K22" s="11" t="s">
        <v>52</v>
      </c>
      <c r="L22" s="11" t="s">
        <v>71</v>
      </c>
      <c r="M22" s="11">
        <v>1</v>
      </c>
      <c r="N22" s="11">
        <v>380</v>
      </c>
      <c r="O22" s="11">
        <v>380</v>
      </c>
      <c r="P22" s="25"/>
      <c r="Q22" s="25"/>
      <c r="R22" s="11" t="s">
        <v>97</v>
      </c>
      <c r="S22" s="30">
        <v>1</v>
      </c>
      <c r="T22" s="11">
        <v>0</v>
      </c>
      <c r="U22" s="11"/>
      <c r="V22" s="11">
        <v>0</v>
      </c>
      <c r="W22" s="11" t="s">
        <v>120</v>
      </c>
      <c r="X22" s="11"/>
      <c r="Y22" s="11" t="s">
        <v>55</v>
      </c>
      <c r="Z22" s="11" t="s">
        <v>43</v>
      </c>
      <c r="AA22" s="11" t="s">
        <v>66</v>
      </c>
      <c r="AB22" s="11"/>
      <c r="AC22" s="25"/>
      <c r="AD22" s="25"/>
      <c r="AE22" s="14" t="s">
        <v>46</v>
      </c>
    </row>
    <row r="23" customHeight="1" spans="2:31">
      <c r="B23" s="19" t="s">
        <v>73</v>
      </c>
      <c r="C23" s="2"/>
      <c r="D23" s="2"/>
      <c r="E23" s="19" t="s">
        <v>73</v>
      </c>
      <c r="I23" s="19" t="s">
        <v>73</v>
      </c>
      <c r="J23" s="19" t="s">
        <v>73</v>
      </c>
      <c r="K23" s="19" t="s">
        <v>73</v>
      </c>
      <c r="L23" s="19" t="s">
        <v>73</v>
      </c>
      <c r="M23" s="19" t="s">
        <v>73</v>
      </c>
      <c r="N23" s="19" t="s">
        <v>73</v>
      </c>
      <c r="O23" s="19" t="s">
        <v>73</v>
      </c>
      <c r="R23" s="19" t="s">
        <v>73</v>
      </c>
      <c r="S23" s="19" t="s">
        <v>73</v>
      </c>
      <c r="T23" s="19" t="s">
        <v>73</v>
      </c>
      <c r="U23" s="19" t="s">
        <v>73</v>
      </c>
      <c r="V23" s="19" t="s">
        <v>73</v>
      </c>
      <c r="W23" s="19" t="s">
        <v>73</v>
      </c>
      <c r="X23" s="19" t="s">
        <v>73</v>
      </c>
      <c r="Y23" s="19" t="s">
        <v>73</v>
      </c>
      <c r="Z23" s="19" t="s">
        <v>73</v>
      </c>
      <c r="AA23" s="19" t="s">
        <v>73</v>
      </c>
      <c r="AB23" s="19" t="s">
        <v>73</v>
      </c>
      <c r="AC23" s="2"/>
      <c r="AD23" s="2"/>
      <c r="AE23" s="29" t="s">
        <v>73</v>
      </c>
    </row>
    <row r="24" customHeight="1" spans="2:31">
      <c r="AB24" s="32" t="s">
        <v>121</v>
      </c>
    </row>
    <row r="25" ht="3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2026-06-08T10:33:46Z</dcterms:created>
  <dcterms:modified xsi:type="dcterms:W3CDTF">2026-06-08T11:22:11Z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1D19E92D4C1D4BDE8E59B4C8B2ABF421_11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