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60" firstSheet="1"/>
  </bookViews>
  <sheets>
    <sheet name="更新" sheetId="19" r:id="rId1"/>
    <sheet name="数据展示" sheetId="3" state="hidden" r:id="rId2"/>
    <sheet name="WpsReserved_CellImgList" sheetId="18" state="veryHidden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D90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H90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03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15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21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24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27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30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33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  <comment ref="D136" authorId="0">
      <text>
        <r>
          <rPr>
            <b/>
            <sz val="9"/>
            <rFont val="SimSun"/>
            <charset val="134"/>
          </rPr>
          <t>Zach:</t>
        </r>
        <r>
          <rPr>
            <sz val="9"/>
            <rFont val="SimSun"/>
            <charset val="134"/>
          </rPr>
          <t xml:space="preserve">
可点击，点击后，下面门店的数据刷新</t>
        </r>
      </text>
    </comment>
  </commentList>
</comments>
</file>

<file path=xl/sharedStrings.xml><?xml version="1.0" encoding="utf-8"?>
<sst xmlns="http://schemas.openxmlformats.org/spreadsheetml/2006/main" count="352" uniqueCount="217">
  <si>
    <t>排行榜</t>
  </si>
  <si>
    <t>只能选单日</t>
  </si>
  <si>
    <t>日历选择器，默认当天</t>
  </si>
  <si>
    <t>不能随意选时间间隔</t>
  </si>
  <si>
    <t>市场/门店 二级筛选器</t>
  </si>
  <si>
    <t>本月</t>
  </si>
  <si>
    <t>上月</t>
  </si>
  <si>
    <t>本年</t>
  </si>
  <si>
    <t>能不能自定义，你根据下面数据的统计规则来设定</t>
  </si>
  <si>
    <t>门店业绩</t>
  </si>
  <si>
    <t>今日:</t>
  </si>
  <si>
    <t>生美业绩</t>
  </si>
  <si>
    <t>业绩排名</t>
  </si>
  <si>
    <t>实耗排名</t>
  </si>
  <si>
    <t>保有会员排名</t>
  </si>
  <si>
    <t>排版可变；仅作参考
展示这几类排名即可即可</t>
  </si>
  <si>
    <t>业绩榜单</t>
  </si>
  <si>
    <t>实耗榜单</t>
  </si>
  <si>
    <t>新会员排名</t>
  </si>
  <si>
    <t>本月：</t>
  </si>
  <si>
    <t>项目数排名</t>
  </si>
  <si>
    <t>客流排名</t>
  </si>
  <si>
    <t>客流榜单</t>
  </si>
  <si>
    <t>项目数榜单</t>
  </si>
  <si>
    <t>收入榜单</t>
  </si>
  <si>
    <t>月店均：</t>
  </si>
  <si>
    <t>门店实耗</t>
  </si>
  <si>
    <t>生美实耗</t>
  </si>
  <si>
    <t>排名</t>
  </si>
  <si>
    <t>店名</t>
  </si>
  <si>
    <t>所属市场</t>
  </si>
  <si>
    <t>数据</t>
  </si>
  <si>
    <t>所属门店</t>
  </si>
  <si>
    <t>南昌旭辉店</t>
  </si>
  <si>
    <t>排版可变；仅作参考
展示这四个字段即可</t>
  </si>
  <si>
    <t>胡蕾</t>
  </si>
  <si>
    <t>＞</t>
  </si>
  <si>
    <t>南昌市场</t>
  </si>
  <si>
    <t>业绩</t>
  </si>
  <si>
    <t>南昌蓝茉店</t>
  </si>
  <si>
    <t>收入</t>
  </si>
  <si>
    <t>南昌云锦店</t>
  </si>
  <si>
    <t>王陶蕊子</t>
  </si>
  <si>
    <t>客流</t>
  </si>
  <si>
    <t>客量</t>
  </si>
  <si>
    <t>新会员</t>
  </si>
  <si>
    <t>项目数</t>
  </si>
  <si>
    <t>南昌英伦店</t>
  </si>
  <si>
    <t>九江鸿蒙店</t>
  </si>
  <si>
    <t>杨钰珊</t>
  </si>
  <si>
    <t>今日：</t>
  </si>
  <si>
    <t>九江市场</t>
  </si>
  <si>
    <t>九江梦想店</t>
  </si>
  <si>
    <t>应采薇</t>
  </si>
  <si>
    <t>易大师云暖店</t>
  </si>
  <si>
    <t>自贡富豪店</t>
  </si>
  <si>
    <t>付霞</t>
  </si>
  <si>
    <t>门店状况</t>
  </si>
  <si>
    <t>会员数量：</t>
  </si>
  <si>
    <t>保有会员：</t>
  </si>
  <si>
    <t>占比：</t>
  </si>
  <si>
    <t>自贡市场</t>
  </si>
  <si>
    <t>自贡财富店</t>
  </si>
  <si>
    <t>自贡贡井店</t>
  </si>
  <si>
    <t>甘语先</t>
  </si>
  <si>
    <t>门店数：</t>
  </si>
  <si>
    <t>员工数：</t>
  </si>
  <si>
    <t>自贡双美店</t>
  </si>
  <si>
    <t>店均会员：</t>
  </si>
  <si>
    <t>人均会员数：</t>
  </si>
  <si>
    <t>店均保有会员：</t>
  </si>
  <si>
    <t>人效数据</t>
  </si>
  <si>
    <t>人均收入（月）：</t>
  </si>
  <si>
    <t>人均业绩</t>
  </si>
  <si>
    <t>人均生美业绩</t>
  </si>
  <si>
    <t>人均实耗</t>
  </si>
  <si>
    <t>人均生美实耗</t>
  </si>
  <si>
    <t>日均：</t>
  </si>
  <si>
    <t>月均：</t>
  </si>
  <si>
    <t>首页</t>
  </si>
  <si>
    <t>门店排行榜</t>
  </si>
  <si>
    <t>员工排行榜</t>
  </si>
  <si>
    <t>我的</t>
  </si>
  <si>
    <t>人均客流</t>
  </si>
  <si>
    <t>人均客量</t>
  </si>
  <si>
    <t>人均新会员</t>
  </si>
  <si>
    <t>人均项目数</t>
  </si>
  <si>
    <t>查看客量数据</t>
  </si>
  <si>
    <t>查看销售数据</t>
  </si>
  <si>
    <t>查看品项数据</t>
  </si>
  <si>
    <t>查看顾客档案</t>
  </si>
  <si>
    <t>以下数据默认按月</t>
  </si>
  <si>
    <t>日期</t>
  </si>
  <si>
    <t>2026.4.24</t>
  </si>
  <si>
    <t>禁止自定义</t>
  </si>
  <si>
    <t>和员工端相同即可</t>
  </si>
  <si>
    <t>此处数据以日期的：
时间点计算；
如果选快捷按钮本月或本年，则与今日数据一致。
选上个月，则数据为上个月最后一天</t>
  </si>
  <si>
    <t>注册情况</t>
  </si>
  <si>
    <t>业绩与实耗</t>
  </si>
  <si>
    <t>品项-顾客周期</t>
  </si>
  <si>
    <t>总注册数</t>
  </si>
  <si>
    <t>仅注册用户</t>
  </si>
  <si>
    <t>体验客</t>
  </si>
  <si>
    <t>会员客</t>
  </si>
  <si>
    <t>总业绩</t>
  </si>
  <si>
    <t>小美客业绩</t>
  </si>
  <si>
    <t>新增会员业绩</t>
  </si>
  <si>
    <t>老会员业绩</t>
  </si>
  <si>
    <r>
      <rPr>
        <sz val="12"/>
        <color rgb="FF000000"/>
        <rFont val="微软雅黑"/>
        <charset val="134"/>
      </rPr>
      <t>持卡人数</t>
    </r>
    <r>
      <rPr>
        <sz val="12"/>
        <color rgb="FFA6A6A6"/>
        <rFont val="微软雅黑"/>
        <charset val="134"/>
      </rPr>
      <t>（持卡人数÷总会员人数）</t>
    </r>
  </si>
  <si>
    <t>按一级品项汇总</t>
  </si>
  <si>
    <t>占比</t>
  </si>
  <si>
    <t>总实耗</t>
  </si>
  <si>
    <t>小美客项目实耗</t>
  </si>
  <si>
    <t>新增会员实耗</t>
  </si>
  <si>
    <t>老会员实耗</t>
  </si>
  <si>
    <t>到店客流数据</t>
  </si>
  <si>
    <t>此处数据以：
时间段计算</t>
  </si>
  <si>
    <t>小美客产品出库</t>
  </si>
  <si>
    <t>新增会员产品出库</t>
  </si>
  <si>
    <t>老会员产品出库</t>
  </si>
  <si>
    <t>总客流量（次）</t>
  </si>
  <si>
    <t>体验客流量（次）</t>
  </si>
  <si>
    <t>小美客流量</t>
  </si>
  <si>
    <t>会员客流量（次）</t>
  </si>
  <si>
    <t>体验情况</t>
  </si>
  <si>
    <t>客单价</t>
  </si>
  <si>
    <t>50人</t>
  </si>
  <si>
    <t>对应人数</t>
  </si>
  <si>
    <t>业绩与品项</t>
  </si>
  <si>
    <t>40人</t>
  </si>
  <si>
    <t>以时间段计算</t>
  </si>
  <si>
    <t>20人</t>
  </si>
  <si>
    <t>按经营类型汇总，排版怎么方便怎么来</t>
  </si>
  <si>
    <t>30人</t>
  </si>
  <si>
    <t>项目数（扣卡次数）</t>
  </si>
  <si>
    <t>6人</t>
  </si>
  <si>
    <t>按一级品项汇总，排版怎么方便怎么来</t>
  </si>
  <si>
    <t>新增情况</t>
  </si>
  <si>
    <t>按二级品项汇总，排版怎么方便怎么来</t>
  </si>
  <si>
    <t>9人</t>
  </si>
  <si>
    <t>10人</t>
  </si>
  <si>
    <t>会员状态与客活</t>
  </si>
  <si>
    <t>5人</t>
  </si>
  <si>
    <t>3人</t>
  </si>
  <si>
    <t>左侧的数据：
选本月：以本月1号为计算截点
选上月：以上月1号为计算截点
选本年：有本年1月1号为计算截点</t>
  </si>
  <si>
    <t>保有会员-稳定
（3个月≥6）</t>
  </si>
  <si>
    <t>一次客活
保有会员到店1次</t>
  </si>
  <si>
    <t>复购情况</t>
  </si>
  <si>
    <t>保有会员-有效
（3个月≤5）</t>
  </si>
  <si>
    <t>二次客活
保有会员到店≥2次</t>
  </si>
  <si>
    <t>右侧的数据：</t>
  </si>
  <si>
    <t>（时间段的）</t>
  </si>
  <si>
    <t>沉睡人数</t>
  </si>
  <si>
    <t>本月激活</t>
  </si>
  <si>
    <t>冰冻人数</t>
  </si>
  <si>
    <t>休眠人数</t>
  </si>
  <si>
    <t>会员被经营情况</t>
  </si>
  <si>
    <t>会员当期消费
＜1990</t>
  </si>
  <si>
    <t>消费金额</t>
  </si>
  <si>
    <t>会员当期消费
≥1990</t>
  </si>
  <si>
    <t>会员当期消费
≥1w</t>
  </si>
  <si>
    <t>会员当期消费
≥3w</t>
  </si>
  <si>
    <t>会员当期消费
≥6w</t>
  </si>
  <si>
    <t>会员当期消费
10w+</t>
  </si>
  <si>
    <t>会员客单价：</t>
  </si>
  <si>
    <t>此处数据以：
时间段计算，不计算单日数据</t>
  </si>
  <si>
    <t>新会员经营</t>
  </si>
  <si>
    <t>新增会员数</t>
  </si>
  <si>
    <t>新增会员对应消费</t>
  </si>
  <si>
    <t>新增会员客单价</t>
  </si>
  <si>
    <t>新增会员成交率</t>
  </si>
  <si>
    <t>数据-客量板块</t>
  </si>
  <si>
    <t>数据-销售板块</t>
  </si>
  <si>
    <t>数据-人效板块</t>
  </si>
  <si>
    <t>数据-品项板块</t>
  </si>
  <si>
    <t>集团/市场/门店</t>
  </si>
  <si>
    <t>今年/本月/本周/今日</t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</si>
  <si>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会员注册人数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</si>
  <si>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有效会员
当月一次人数</t>
    </r>
    <r>
      <rPr>
        <sz val="8"/>
        <color rgb="FF000000"/>
        <rFont val="微软雅黑"/>
        <charset val="134"/>
      </rPr>
      <t xml:space="preserve">(同比/环比)
</t>
    </r>
    <r>
      <rPr>
        <sz val="10"/>
        <color rgb="FF000000"/>
        <rFont val="微软雅黑"/>
        <charset val="134"/>
      </rPr>
      <t>当月</t>
    </r>
    <r>
      <rPr>
        <sz val="11"/>
        <color rgb="FF000000"/>
        <rFont val="微软雅黑"/>
        <charset val="134"/>
      </rPr>
      <t>二次人数</t>
    </r>
    <r>
      <rPr>
        <sz val="8"/>
        <color rgb="FF000000"/>
        <rFont val="微软雅黑"/>
        <charset val="134"/>
      </rPr>
      <t>(同比/环比)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</si>
  <si>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沉睡人数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</si>
  <si>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
生美业绩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</si>
  <si>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总实耗
生美实耗</t>
    </r>
    <r>
      <rPr>
        <sz val="8"/>
        <color rgb="FF000000"/>
        <rFont val="微软雅黑"/>
        <charset val="134"/>
      </rPr>
      <t xml:space="preserve">(同比/环比)
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</si>
  <si>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店长人均会员数</t>
    </r>
    <r>
      <rPr>
        <sz val="9"/>
        <color rgb="FFFF0000"/>
        <rFont val="微软雅黑"/>
        <charset val="134"/>
      </rPr>
      <t>(注册÷店长)</t>
    </r>
    <r>
      <rPr>
        <sz val="11"/>
        <color rgb="FF000000"/>
        <rFont val="微软雅黑"/>
        <charset val="134"/>
      </rPr>
      <t xml:space="preserve">
店长人均员工数
店长人均收入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</si>
  <si>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员工人均总业绩
员工人均总实耗
员工人均收入
人均会员量</t>
    </r>
    <r>
      <rPr>
        <sz val="8"/>
        <color rgb="FFFF0000"/>
        <rFont val="微软雅黑"/>
        <charset val="134"/>
      </rPr>
      <t>（有效到店÷员工）</t>
    </r>
    <r>
      <rPr>
        <sz val="11"/>
        <color rgb="FF000000"/>
        <rFont val="微软雅黑"/>
        <charset val="134"/>
      </rPr>
      <t xml:space="preserve">
人均项目数</t>
    </r>
    <r>
      <rPr>
        <sz val="9"/>
        <color rgb="FFFF0000"/>
        <rFont val="微软雅黑"/>
        <charset val="134"/>
      </rPr>
      <t>(生美项目÷员工</t>
    </r>
    <r>
      <rPr>
        <sz val="11"/>
        <color rgb="FF000000"/>
        <rFont val="微软雅黑"/>
        <charset val="134"/>
      </rPr>
      <t>)</t>
    </r>
  </si>
  <si>
    <r>
      <rPr>
        <sz val="11"/>
        <color rgb="FF000000"/>
        <rFont val="微软雅黑"/>
        <charset val="134"/>
      </rPr>
      <t xml:space="preserve">生美板块
市场王牌持卡人数
门店王牌持卡人数市场王牌持卡人占比率
</t>
    </r>
    <r>
      <rPr>
        <sz val="10"/>
        <color rgb="FFFF0000"/>
        <rFont val="微软雅黑"/>
        <charset val="134"/>
      </rPr>
      <t>(持卡人数÷总会员人数)</t>
    </r>
  </si>
  <si>
    <t>生美板块
市场招牌复购人数/业绩/客单价
门店招牌复购人数/业绩/客单价
市场王牌复购人数/业绩/客单价
门店王牌复购人数/业绩/客单价</t>
  </si>
  <si>
    <r>
      <rPr>
        <sz val="11"/>
        <color rgb="FF000000"/>
        <rFont val="微软雅黑"/>
        <charset val="134"/>
      </rPr>
      <t xml:space="preserve">市场生美占比率
</t>
    </r>
    <r>
      <rPr>
        <sz val="11"/>
        <color rgb="FFFF0000"/>
        <rFont val="微软雅黑"/>
        <charset val="134"/>
      </rPr>
      <t>(生美业绩÷总业绩)</t>
    </r>
    <r>
      <rPr>
        <sz val="11"/>
        <color rgb="FF000000"/>
        <rFont val="微软雅黑"/>
        <charset val="134"/>
      </rPr>
      <t xml:space="preserve">
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</si>
  <si>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冰冻人数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</si>
  <si>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000000"/>
        <rFont val="微软雅黑"/>
        <charset val="134"/>
      </rPr>
      <t>500</t>
    </r>
    <r>
      <rPr>
        <sz val="11"/>
        <color rgb="FF000000"/>
        <rFont val="微软雅黑"/>
        <charset val="134"/>
      </rPr>
      <t xml:space="preserve">
休眠人数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当月激活人数</t>
    </r>
  </si>
  <si>
    <r>
      <rPr>
        <sz val="14"/>
        <color rgb="FFFF0000"/>
        <rFont val="微软雅黑"/>
        <charset val="134"/>
      </rPr>
      <t>500</t>
    </r>
    <r>
      <rPr>
        <sz val="11"/>
        <color rgb="FFFF0000"/>
        <rFont val="微软雅黑"/>
        <charset val="134"/>
      </rPr>
      <t xml:space="preserve">
会员新增人数</t>
    </r>
    <r>
      <rPr>
        <sz val="8"/>
        <color rgb="FFFF0000"/>
        <rFont val="微软雅黑"/>
        <charset val="134"/>
      </rPr>
      <t xml:space="preserve">(同比/环比)
</t>
    </r>
    <r>
      <rPr>
        <sz val="10"/>
        <color rgb="FFFF0000"/>
        <rFont val="微软雅黑"/>
        <charset val="134"/>
      </rPr>
      <t>当月流量客人数</t>
    </r>
    <r>
      <rPr>
        <sz val="8"/>
        <color rgb="FFFF0000"/>
        <rFont val="微软雅黑"/>
        <charset val="134"/>
      </rPr>
      <t xml:space="preserve">
当月成交率(新增人数÷流量客人数)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</si>
  <si>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新客业绩</t>
    </r>
    <r>
      <rPr>
        <sz val="8"/>
        <color rgb="FF000000"/>
        <rFont val="微软雅黑"/>
        <charset val="134"/>
      </rPr>
      <t xml:space="preserve">(同比/环比)
</t>
    </r>
    <r>
      <rPr>
        <sz val="11"/>
        <color rgb="FF000000"/>
        <rFont val="微软雅黑"/>
        <charset val="134"/>
      </rPr>
      <t>流量业绩</t>
    </r>
    <r>
      <rPr>
        <sz val="8"/>
        <color rgb="FF000000"/>
        <rFont val="微软雅黑"/>
        <charset val="134"/>
      </rPr>
      <t>(同比/环比)</t>
    </r>
  </si>
  <si>
    <r>
      <rPr>
        <sz val="11"/>
        <color rgb="FF000000"/>
        <rFont val="微软雅黑"/>
        <charset val="134"/>
      </rPr>
      <t xml:space="preserve">10
门店数
员工数(美容师/养生师)
</t>
    </r>
    <r>
      <rPr>
        <sz val="8"/>
        <color rgb="FF000000"/>
        <rFont val="微软雅黑"/>
        <charset val="134"/>
      </rPr>
      <t xml:space="preserve">
</t>
    </r>
  </si>
  <si>
    <r>
      <rPr>
        <sz val="11"/>
        <color rgb="FF000000"/>
        <rFont val="微软雅黑"/>
        <charset val="134"/>
      </rPr>
      <t>明星项目
市场持卡人数
门店持卡人数
市场持卡占比率</t>
    </r>
    <r>
      <rPr>
        <sz val="11"/>
        <color rgb="FFFF0000"/>
        <rFont val="微软雅黑"/>
        <charset val="134"/>
      </rPr>
      <t>(品项持卡人÷总会员人数)</t>
    </r>
  </si>
  <si>
    <t>明星项目
市场新增人数/业绩/客单价
门店新增人数/业绩/客单价
市场复购人数/业绩/客单价
门店复购人数/业绩/客单价</t>
  </si>
  <si>
    <r>
      <rPr>
        <sz val="11"/>
        <color rgb="FF000000"/>
        <rFont val="微软雅黑"/>
        <charset val="134"/>
      </rPr>
      <t xml:space="preserve">明星项目
“分品”复购率
</t>
    </r>
    <r>
      <rPr>
        <sz val="11"/>
        <color rgb="FFFF0000"/>
        <rFont val="微软雅黑"/>
        <charset val="134"/>
      </rPr>
      <t>(复购人数÷持卡人数)</t>
    </r>
  </si>
  <si>
    <t xml:space="preserve">会员经营人数
</t>
  </si>
  <si>
    <r>
      <rPr>
        <sz val="14"/>
        <color rgb="FF000000"/>
        <rFont val="微软雅黑"/>
        <charset val="134"/>
      </rPr>
      <t xml:space="preserve">服务人次
</t>
    </r>
    <r>
      <rPr>
        <sz val="9"/>
        <color rgb="FF000000"/>
        <rFont val="微软雅黑"/>
        <charset val="134"/>
      </rPr>
      <t>服务项目数</t>
    </r>
    <r>
      <rPr>
        <sz val="14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单次客耗</t>
    </r>
    <r>
      <rPr>
        <sz val="10"/>
        <color rgb="FFFF0000"/>
        <rFont val="微软雅黑"/>
        <charset val="134"/>
      </rPr>
      <t xml:space="preserve">(生美实耗÷频率)
</t>
    </r>
  </si>
  <si>
    <r>
      <rPr>
        <sz val="14"/>
        <color rgb="FF000000"/>
        <rFont val="微软雅黑"/>
        <charset val="134"/>
      </rPr>
      <t xml:space="preserve">会员客单
</t>
    </r>
    <r>
      <rPr>
        <sz val="11"/>
        <color rgb="FF000000"/>
        <rFont val="微软雅黑"/>
        <charset val="134"/>
      </rPr>
      <t>新客客单</t>
    </r>
    <r>
      <rPr>
        <sz val="14"/>
        <color rgb="FF000000"/>
        <rFont val="微软雅黑"/>
        <charset val="134"/>
      </rPr>
      <t xml:space="preserve">
</t>
    </r>
    <r>
      <rPr>
        <sz val="9"/>
        <color rgb="FFFF0000"/>
        <rFont val="微软雅黑"/>
        <charset val="134"/>
      </rPr>
      <t>(业绩÷被经营人数)</t>
    </r>
  </si>
  <si>
    <r>
      <rPr>
        <sz val="14"/>
        <color rgb="FF000000"/>
        <rFont val="微软雅黑"/>
        <charset val="134"/>
      </rPr>
      <t>10000</t>
    </r>
    <r>
      <rPr>
        <sz val="11"/>
        <color rgb="FF000000"/>
        <rFont val="微软雅黑"/>
        <charset val="134"/>
      </rPr>
      <t xml:space="preserve">
总业绩店均
</t>
    </r>
    <r>
      <rPr>
        <sz val="9"/>
        <color rgb="FF000000"/>
        <rFont val="微软雅黑"/>
        <charset val="134"/>
      </rPr>
      <t>生美业绩店均
实耗业绩店均</t>
    </r>
  </si>
  <si>
    <t>明细区
1、先市场
2、后门店</t>
  </si>
  <si>
    <t>数据明细区</t>
  </si>
  <si>
    <t>无卡初次购买</t>
  </si>
  <si>
    <t>品项</t>
  </si>
  <si>
    <t>门店</t>
  </si>
  <si>
    <t>持卡人数</t>
  </si>
  <si>
    <t>新增人数</t>
  </si>
  <si>
    <t>业绩业绩</t>
  </si>
  <si>
    <t>复购人数</t>
  </si>
  <si>
    <t>复购业绩</t>
  </si>
  <si>
    <t>市场/门店/注册/有效/沉睡/冰冻/休眠/新增/被经营/档位</t>
  </si>
  <si>
    <t>市场/门店/总业绩/总实耗/新客业绩</t>
  </si>
  <si>
    <t>排名榜：业绩+实耗+新客+项目数+会员量+员工收入</t>
  </si>
  <si>
    <t>招牌</t>
  </si>
  <si>
    <t>安吉丽</t>
  </si>
  <si>
    <t>功能养生</t>
  </si>
  <si>
    <t>功能灸</t>
  </si>
  <si>
    <t>美在东方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</si>
</sst>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;[Red]\-0.00\ "/>
  </numFmts>
  <fonts count="52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6"/>
      <color rgb="FF000000"/>
      <name val="微软雅黑"/>
      <charset val="134"/>
    </font>
    <font>
      <sz val="11"/>
      <color rgb="FF000000"/>
      <name val="微软雅黑"/>
      <charset val="134"/>
    </font>
    <font>
      <sz val="14"/>
      <color rgb="FF000000"/>
      <name val="微软雅黑"/>
      <charset val="134"/>
    </font>
    <font>
      <sz val="12"/>
      <color rgb="FFFF0000"/>
      <name val="微软雅黑"/>
      <charset val="134"/>
    </font>
    <font>
      <sz val="14"/>
      <color rgb="FFFF0000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sz val="11"/>
      <color rgb="FF7F7F7F"/>
      <name val="微软雅黑"/>
      <charset val="134"/>
    </font>
    <font>
      <b/>
      <sz val="14"/>
      <color rgb="FFFF0000"/>
      <name val="微软雅黑"/>
      <charset val="134"/>
    </font>
    <font>
      <sz val="12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b/>
      <sz val="36"/>
      <color theme="1"/>
      <name val="微软雅黑"/>
      <charset val="134"/>
    </font>
    <font>
      <sz val="11"/>
      <color theme="0" tint="-0.35"/>
      <name val="微软雅黑"/>
      <charset val="134"/>
    </font>
    <font>
      <b/>
      <sz val="14"/>
      <color rgb="FF000000"/>
      <name val="微软雅黑"/>
      <charset val="134"/>
    </font>
    <font>
      <b/>
      <sz val="12"/>
      <color theme="1"/>
      <name val="微软雅黑"/>
      <charset val="134"/>
    </font>
    <font>
      <sz val="11"/>
      <color theme="0" tint="-0.25"/>
      <name val="微软雅黑"/>
      <charset val="134"/>
    </font>
    <font>
      <sz val="11"/>
      <color rgb="FFBFBFBF"/>
      <name val="微软雅黑"/>
      <charset val="134"/>
    </font>
    <font>
      <sz val="11"/>
      <color rgb="FFA6A6A6"/>
      <name val="微软雅黑"/>
      <charset val="134"/>
    </font>
    <font>
      <b/>
      <sz val="24"/>
      <color theme="1"/>
      <name val="微软雅黑"/>
      <charset val="134"/>
    </font>
    <font>
      <b/>
      <sz val="18"/>
      <color rgb="FFFF0000"/>
      <name val="微软雅黑"/>
      <charset val="134"/>
    </font>
    <font>
      <sz val="20"/>
      <color rgb="FF000000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FF0000"/>
      <name val="微软雅黑"/>
      <charset val="134"/>
    </font>
    <font>
      <sz val="8"/>
      <color rgb="FFFF0000"/>
      <name val="微软雅黑"/>
      <charset val="134"/>
    </font>
    <font>
      <sz val="10"/>
      <color rgb="FFFF0000"/>
      <name val="微软雅黑"/>
      <charset val="134"/>
    </font>
    <font>
      <sz val="9"/>
      <color rgb="FF000000"/>
      <name val="微软雅黑"/>
      <charset val="134"/>
    </font>
    <font>
      <sz val="12"/>
      <color rgb="FFA6A6A6"/>
      <name val="微软雅黑"/>
      <charset val="134"/>
    </font>
    <font>
      <sz val="9"/>
      <name val="SimSun"/>
      <charset val="134"/>
    </font>
    <font>
      <b/>
      <sz val="9"/>
      <name val="SimSun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0" tint="-0.15"/>
      </left>
      <right/>
      <top style="medium">
        <color theme="0" tint="-0.15"/>
      </top>
      <bottom/>
      <diagonal/>
    </border>
    <border>
      <left style="medium">
        <color theme="0" tint="-0.15"/>
      </left>
      <right/>
      <top/>
      <bottom/>
      <diagonal/>
    </border>
    <border>
      <left/>
      <right/>
      <top style="medium">
        <color theme="0" tint="-0.15"/>
      </top>
      <bottom/>
      <diagonal/>
    </border>
    <border>
      <left style="thin">
        <color theme="0" tint="-0.15"/>
      </left>
      <right/>
      <top style="thin">
        <color theme="0" tint="-0.15"/>
      </top>
      <bottom/>
      <diagonal/>
    </border>
    <border>
      <left/>
      <right/>
      <top style="thin">
        <color theme="0" tint="-0.15"/>
      </top>
      <bottom/>
      <diagonal/>
    </border>
    <border>
      <left style="thin">
        <color theme="0" tint="-0.15"/>
      </left>
      <right/>
      <top/>
      <bottom/>
      <diagonal/>
    </border>
    <border>
      <left style="thin">
        <color theme="0" tint="-0.15"/>
      </left>
      <right/>
      <top/>
      <bottom style="thin">
        <color theme="0" tint="-0.15"/>
      </bottom>
      <diagonal/>
    </border>
    <border>
      <left/>
      <right/>
      <top/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/>
      <diagonal/>
    </border>
    <border>
      <left/>
      <right style="thin">
        <color theme="0" tint="-0.15"/>
      </right>
      <top/>
      <bottom/>
      <diagonal/>
    </border>
    <border>
      <left/>
      <right style="thin">
        <color theme="0" tint="-0.15"/>
      </right>
      <top/>
      <bottom style="thin">
        <color theme="0" tint="-0.15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theme="0" tint="-0.15"/>
      </right>
      <top style="medium">
        <color theme="0" tint="-0.15"/>
      </top>
      <bottom/>
      <diagonal/>
    </border>
    <border>
      <left/>
      <right style="medium">
        <color theme="0" tint="-0.15"/>
      </right>
      <top/>
      <bottom/>
      <diagonal/>
    </border>
    <border>
      <left style="medium">
        <color theme="0" tint="-0.15"/>
      </left>
      <right/>
      <top/>
      <bottom style="medium">
        <color theme="0" tint="-0.15"/>
      </bottom>
      <diagonal/>
    </border>
    <border>
      <left/>
      <right/>
      <top/>
      <bottom style="medium">
        <color theme="0" tint="-0.15"/>
      </bottom>
      <diagonal/>
    </border>
    <border>
      <left style="medium">
        <color theme="0" tint="-0.15"/>
      </left>
      <right/>
      <top/>
      <bottom style="thin">
        <color theme="0" tint="-0.15"/>
      </bottom>
      <diagonal/>
    </border>
    <border>
      <left style="medium">
        <color rgb="FFD9D9D9"/>
      </left>
      <right/>
      <top/>
      <bottom/>
      <diagonal/>
    </border>
    <border>
      <left style="medium">
        <color rgb="FFD9D9D9"/>
      </left>
      <right/>
      <top/>
      <bottom style="thin">
        <color theme="0" tint="-0.15"/>
      </bottom>
      <diagonal/>
    </border>
    <border>
      <left/>
      <right style="medium">
        <color theme="0" tint="-0.15"/>
      </right>
      <top/>
      <bottom style="medium">
        <color theme="0" tint="-0.15"/>
      </bottom>
      <diagonal/>
    </border>
    <border>
      <left/>
      <right style="medium">
        <color theme="0" tint="-0.15"/>
      </right>
      <top/>
      <bottom style="thin">
        <color theme="0" tint="-0.15"/>
      </bottom>
      <diagonal/>
    </border>
    <border>
      <left/>
      <right style="medium">
        <color rgb="FFD9D9D9"/>
      </right>
      <top/>
      <bottom/>
      <diagonal/>
    </border>
    <border>
      <left/>
      <right style="medium">
        <color rgb="FFD9D9D9"/>
      </right>
      <top/>
      <bottom style="thin">
        <color theme="0" tint="-0.15"/>
      </bottom>
      <diagonal/>
    </border>
    <border>
      <left style="medium">
        <color rgb="FFD9D9D9"/>
      </left>
      <right/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/>
      <right style="medium">
        <color rgb="FFD9D9D9"/>
      </right>
      <top/>
      <bottom style="thin">
        <color rgb="FFF2F2F2"/>
      </bottom>
      <diagonal/>
    </border>
    <border>
      <left/>
      <right/>
      <top style="thin">
        <color rgb="FFD9D9D9"/>
      </top>
      <bottom/>
      <diagonal/>
    </border>
    <border>
      <left style="thin">
        <color theme="0" tint="-0.15"/>
      </left>
      <right/>
      <top style="thin">
        <color theme="0" tint="-0.15"/>
      </top>
      <bottom style="thin">
        <color theme="0" tint="-0.15"/>
      </bottom>
      <diagonal/>
    </border>
    <border>
      <left/>
      <right/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1" borderId="42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3" applyNumberFormat="0" applyFill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2" borderId="45" applyNumberFormat="0" applyAlignment="0" applyProtection="0">
      <alignment vertical="center"/>
    </xf>
    <xf numFmtId="0" fontId="33" fillId="2" borderId="46" applyNumberFormat="0" applyAlignment="0" applyProtection="0">
      <alignment vertical="center"/>
    </xf>
    <xf numFmtId="0" fontId="34" fillId="2" borderId="45" applyNumberFormat="0" applyAlignment="0" applyProtection="0">
      <alignment vertical="center"/>
    </xf>
    <xf numFmtId="0" fontId="35" fillId="13" borderId="47" applyNumberFormat="0" applyAlignment="0" applyProtection="0">
      <alignment vertical="center"/>
    </xf>
    <xf numFmtId="0" fontId="36" fillId="0" borderId="48" applyNumberFormat="0" applyFill="0" applyAlignment="0" applyProtection="0">
      <alignment vertical="center"/>
    </xf>
    <xf numFmtId="0" fontId="37" fillId="0" borderId="49" applyNumberFormat="0" applyFill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</cellStyleXfs>
  <cellXfs count="24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18" xfId="0" applyFont="1" applyFill="1" applyBorder="1" applyAlignment="1">
      <alignment vertical="center"/>
    </xf>
    <xf numFmtId="0" fontId="1" fillId="0" borderId="15" xfId="0" applyFont="1" applyFill="1" applyBorder="1" applyAlignment="1">
      <alignment vertical="center"/>
    </xf>
    <xf numFmtId="0" fontId="1" fillId="0" borderId="16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6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/>
    </xf>
    <xf numFmtId="178" fontId="13" fillId="7" borderId="13" xfId="0" applyNumberFormat="1" applyFont="1" applyFill="1" applyBorder="1" applyAlignment="1">
      <alignment horizontal="center" vertical="center"/>
    </xf>
    <xf numFmtId="178" fontId="13" fillId="7" borderId="17" xfId="0" applyNumberFormat="1" applyFont="1" applyFill="1" applyBorder="1" applyAlignment="1">
      <alignment horizontal="center" vertical="center"/>
    </xf>
    <xf numFmtId="178" fontId="13" fillId="7" borderId="0" xfId="0" applyNumberFormat="1" applyFont="1" applyFill="1" applyAlignment="1">
      <alignment horizontal="center" vertical="center"/>
    </xf>
    <xf numFmtId="178" fontId="13" fillId="7" borderId="18" xfId="0" applyNumberFormat="1" applyFont="1" applyFill="1" applyBorder="1" applyAlignment="1">
      <alignment horizontal="center" vertical="center"/>
    </xf>
    <xf numFmtId="178" fontId="13" fillId="7" borderId="16" xfId="0" applyNumberFormat="1" applyFont="1" applyFill="1" applyBorder="1" applyAlignment="1">
      <alignment horizontal="center" vertical="center"/>
    </xf>
    <xf numFmtId="178" fontId="13" fillId="7" borderId="19" xfId="0" applyNumberFormat="1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3" fillId="7" borderId="2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78" fontId="13" fillId="7" borderId="0" xfId="0" applyNumberFormat="1" applyFont="1" applyFill="1" applyBorder="1" applyAlignment="1">
      <alignment horizontal="center" vertical="center"/>
    </xf>
    <xf numFmtId="10" fontId="3" fillId="7" borderId="13" xfId="0" applyNumberFormat="1" applyFont="1" applyFill="1" applyBorder="1" applyAlignment="1">
      <alignment horizontal="center" vertical="center"/>
    </xf>
    <xf numFmtId="10" fontId="3" fillId="7" borderId="17" xfId="0" applyNumberFormat="1" applyFont="1" applyFill="1" applyBorder="1" applyAlignment="1">
      <alignment horizontal="center" vertical="center"/>
    </xf>
    <xf numFmtId="10" fontId="3" fillId="7" borderId="16" xfId="0" applyNumberFormat="1" applyFont="1" applyFill="1" applyBorder="1" applyAlignment="1">
      <alignment horizontal="center" vertical="center"/>
    </xf>
    <xf numFmtId="10" fontId="3" fillId="7" borderId="1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15" fillId="8" borderId="28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vertical="center"/>
    </xf>
    <xf numFmtId="0" fontId="17" fillId="8" borderId="10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26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7" borderId="0" xfId="0" applyFont="1" applyFill="1" applyBorder="1" applyAlignment="1">
      <alignment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178" fontId="13" fillId="7" borderId="0" xfId="0" applyNumberFormat="1" applyFont="1" applyFill="1" applyBorder="1" applyAlignment="1">
      <alignment vertical="center"/>
    </xf>
    <xf numFmtId="0" fontId="17" fillId="8" borderId="25" xfId="0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8" borderId="31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8" fillId="7" borderId="16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17" fillId="5" borderId="3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8" fontId="16" fillId="7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5" fillId="8" borderId="32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vertical="center"/>
    </xf>
    <xf numFmtId="0" fontId="3" fillId="7" borderId="33" xfId="0" applyFont="1" applyFill="1" applyBorder="1" applyAlignment="1">
      <alignment horizontal="center" vertical="center"/>
    </xf>
    <xf numFmtId="0" fontId="19" fillId="7" borderId="16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10" fontId="3" fillId="7" borderId="0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vertical="center" wrapText="1"/>
    </xf>
    <xf numFmtId="0" fontId="16" fillId="7" borderId="35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center" vertical="center"/>
    </xf>
    <xf numFmtId="0" fontId="20" fillId="7" borderId="36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center" vertical="center"/>
    </xf>
    <xf numFmtId="0" fontId="1" fillId="7" borderId="36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178" fontId="17" fillId="7" borderId="0" xfId="0" applyNumberFormat="1" applyFont="1" applyFill="1" applyAlignment="1">
      <alignment horizontal="center" vertical="center"/>
    </xf>
    <xf numFmtId="0" fontId="19" fillId="7" borderId="36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37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26" xfId="0" applyFont="1" applyFill="1" applyBorder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9" borderId="0" xfId="0" applyFont="1" applyFill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9" fillId="0" borderId="27" xfId="0" applyFont="1" applyFill="1" applyBorder="1" applyAlignment="1">
      <alignment horizontal="center" vertical="center"/>
    </xf>
    <xf numFmtId="0" fontId="1" fillId="7" borderId="38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7" borderId="25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178" fontId="3" fillId="0" borderId="25" xfId="0" applyNumberFormat="1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vertical="center"/>
    </xf>
    <xf numFmtId="178" fontId="3" fillId="7" borderId="10" xfId="0" applyNumberFormat="1" applyFont="1" applyFill="1" applyBorder="1" applyAlignment="1">
      <alignment vertical="center"/>
    </xf>
    <xf numFmtId="178" fontId="3" fillId="7" borderId="15" xfId="0" applyNumberFormat="1" applyFont="1" applyFill="1" applyBorder="1" applyAlignment="1">
      <alignment horizontal="center" vertical="center"/>
    </xf>
    <xf numFmtId="178" fontId="3" fillId="7" borderId="16" xfId="0" applyNumberFormat="1" applyFont="1" applyFill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178" fontId="3" fillId="7" borderId="14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3" fillId="10" borderId="39" xfId="0" applyFont="1" applyFill="1" applyBorder="1" applyAlignment="1">
      <alignment horizontal="center" vertical="center"/>
    </xf>
    <xf numFmtId="0" fontId="3" fillId="10" borderId="40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178" fontId="3" fillId="0" borderId="16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10" borderId="21" xfId="0" applyFont="1" applyFill="1" applyBorder="1" applyAlignment="1">
      <alignment horizontal="center" vertical="center"/>
    </xf>
    <xf numFmtId="0" fontId="3" fillId="10" borderId="22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78" fontId="3" fillId="0" borderId="19" xfId="0" applyNumberFormat="1" applyFont="1" applyFill="1" applyBorder="1" applyAlignment="1">
      <alignment horizontal="center" vertical="center"/>
    </xf>
    <xf numFmtId="178" fontId="3" fillId="0" borderId="18" xfId="0" applyNumberFormat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3" fillId="10" borderId="41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" fillId="7" borderId="26" xfId="0" applyFont="1" applyFill="1" applyBorder="1" applyAlignment="1">
      <alignment horizontal="center" vertical="center"/>
    </xf>
    <xf numFmtId="178" fontId="11" fillId="2" borderId="0" xfId="0" applyNumberFormat="1" applyFon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10" fontId="11" fillId="2" borderId="0" xfId="0" applyNumberFormat="1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178" fontId="11" fillId="0" borderId="0" xfId="0" applyNumberFormat="1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10" fontId="11" fillId="0" borderId="0" xfId="0" applyNumberFormat="1" applyFont="1" applyFill="1" applyAlignment="1">
      <alignment vertical="center"/>
    </xf>
    <xf numFmtId="0" fontId="23" fillId="7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left" vertical="center"/>
    </xf>
    <xf numFmtId="0" fontId="23" fillId="7" borderId="0" xfId="0" applyFont="1" applyFill="1" applyBorder="1" applyAlignment="1">
      <alignment horizontal="center" vertical="center"/>
    </xf>
    <xf numFmtId="179" fontId="23" fillId="7" borderId="0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10" fontId="1" fillId="7" borderId="0" xfId="0" applyNumberFormat="1" applyFont="1" applyFill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10" fontId="1" fillId="7" borderId="25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/>
  <colors>
    <mruColors>
      <color rgb="0032D4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9D9D9"/>
  </sheetPr>
  <dimension ref="A1:CG149"/>
  <sheetViews>
    <sheetView showGridLines="0" tabSelected="1" zoomScale="87" zoomScaleNormal="87" topLeftCell="B114" workbookViewId="0">
      <selection activeCell="AK135" sqref="AK135"/>
    </sheetView>
  </sheetViews>
  <sheetFormatPr defaultColWidth="7.875" defaultRowHeight="16.8"/>
  <cols>
    <col min="1" max="1" width="13.375" style="25" customWidth="1"/>
    <col min="2" max="2" width="17.0546875" style="25" customWidth="1"/>
    <col min="3" max="3" width="3.5234375" style="26" customWidth="1"/>
    <col min="4" max="6" width="3.625" style="25" customWidth="1"/>
    <col min="7" max="7" width="4.703125" style="25" customWidth="1"/>
    <col min="8" max="22" width="3.625" style="25" customWidth="1"/>
    <col min="23" max="24" width="3.125" style="25" customWidth="1"/>
    <col min="25" max="25" width="7.875" style="25" customWidth="1"/>
    <col min="26" max="44" width="3.625" style="25" customWidth="1"/>
    <col min="45" max="45" width="4.546875" style="25" customWidth="1"/>
    <col min="46" max="64" width="3.625" style="25" customWidth="1"/>
    <col min="65" max="65" width="12.5" style="25" customWidth="1"/>
    <col min="66" max="84" width="3.625" style="25" customWidth="1"/>
    <col min="85" max="85" width="12.4921875" style="25" customWidth="1"/>
    <col min="86" max="16032" width="7.875" style="25" customWidth="1"/>
    <col min="16033" max="16384" width="7.875" style="25"/>
  </cols>
  <sheetData>
    <row r="1" ht="34" customHeight="1" spans="26:67">
      <c r="Z1" s="99" t="s">
        <v>0</v>
      </c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</row>
    <row r="2" ht="34" customHeight="1" spans="4:67"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</row>
    <row r="3" ht="16.5" customHeight="1" spans="4:67">
      <c r="D3" s="28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96"/>
      <c r="Z3" s="28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96"/>
      <c r="AW3" s="28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96"/>
    </row>
    <row r="4" ht="16.5" customHeight="1" spans="4:67">
      <c r="D4" s="29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97"/>
      <c r="Z4" s="29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97"/>
      <c r="AW4" s="29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97"/>
    </row>
    <row r="5" ht="16.5" customHeight="1" spans="2:67">
      <c r="B5" s="25" t="s">
        <v>1</v>
      </c>
      <c r="D5" s="29"/>
      <c r="E5" s="35" t="s">
        <v>2</v>
      </c>
      <c r="F5" s="35"/>
      <c r="G5" s="35"/>
      <c r="H5" s="35"/>
      <c r="I5" s="35"/>
      <c r="J5" s="34"/>
      <c r="K5" s="66"/>
      <c r="L5" s="66"/>
      <c r="M5" s="34"/>
      <c r="N5" s="66"/>
      <c r="O5" s="82"/>
      <c r="P5" s="83"/>
      <c r="Q5" s="83"/>
      <c r="R5" s="83"/>
      <c r="S5" s="85"/>
      <c r="T5" s="27"/>
      <c r="U5" s="27"/>
      <c r="V5" s="97"/>
      <c r="Z5" s="29"/>
      <c r="AA5" s="100"/>
      <c r="AB5" s="100"/>
      <c r="AC5" s="126"/>
      <c r="AD5" s="126"/>
      <c r="AE5" s="126"/>
      <c r="AF5" s="34"/>
      <c r="AG5" s="66"/>
      <c r="AH5" s="66"/>
      <c r="AI5" s="34"/>
      <c r="AJ5" s="66"/>
      <c r="AK5" s="66"/>
      <c r="AL5" s="66"/>
      <c r="AM5" s="66"/>
      <c r="AN5" s="66"/>
      <c r="AO5" s="66"/>
      <c r="AP5" s="27"/>
      <c r="AQ5" s="27"/>
      <c r="AR5" s="97"/>
      <c r="AW5" s="29"/>
      <c r="AX5" s="100"/>
      <c r="AY5" s="100"/>
      <c r="AZ5" s="126"/>
      <c r="BA5" s="126"/>
      <c r="BB5" s="126"/>
      <c r="BC5" s="34"/>
      <c r="BD5" s="66"/>
      <c r="BE5" s="66"/>
      <c r="BF5" s="34"/>
      <c r="BG5" s="66"/>
      <c r="BH5" s="66"/>
      <c r="BI5" s="66"/>
      <c r="BJ5" s="66"/>
      <c r="BK5" s="66"/>
      <c r="BL5" s="66"/>
      <c r="BM5" s="27"/>
      <c r="BN5" s="27"/>
      <c r="BO5" s="97"/>
    </row>
    <row r="6" ht="16.5" customHeight="1" spans="2:67">
      <c r="B6" s="25" t="s">
        <v>3</v>
      </c>
      <c r="D6" s="2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97"/>
      <c r="Z6" s="29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97"/>
      <c r="AW6" s="29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97"/>
    </row>
    <row r="7" ht="16.5" customHeight="1" spans="4:67">
      <c r="D7" s="29"/>
      <c r="E7" s="25" t="s">
        <v>4</v>
      </c>
      <c r="J7" s="67"/>
      <c r="K7" s="67"/>
      <c r="L7" s="68"/>
      <c r="M7" s="34"/>
      <c r="N7" s="34"/>
      <c r="O7" s="34"/>
      <c r="P7" s="34"/>
      <c r="Q7" s="34"/>
      <c r="R7" s="34"/>
      <c r="S7" s="34"/>
      <c r="T7" s="34"/>
      <c r="U7" s="34"/>
      <c r="V7" s="97"/>
      <c r="Z7" s="29"/>
      <c r="AA7" s="82" t="s">
        <v>5</v>
      </c>
      <c r="AB7" s="85"/>
      <c r="AC7" s="34"/>
      <c r="AD7" s="82" t="s">
        <v>6</v>
      </c>
      <c r="AE7" s="85"/>
      <c r="AG7" s="82" t="s">
        <v>7</v>
      </c>
      <c r="AH7" s="85"/>
      <c r="AI7" s="34"/>
      <c r="AJ7" s="66"/>
      <c r="AK7" s="142"/>
      <c r="AL7" s="143"/>
      <c r="AM7" s="143"/>
      <c r="AN7" s="143"/>
      <c r="AO7" s="145"/>
      <c r="AP7" s="101"/>
      <c r="AQ7" s="101"/>
      <c r="AR7" s="97"/>
      <c r="AW7" s="29"/>
      <c r="AX7" s="82" t="s">
        <v>5</v>
      </c>
      <c r="AY7" s="85"/>
      <c r="AZ7" s="34"/>
      <c r="BA7" s="82" t="s">
        <v>6</v>
      </c>
      <c r="BB7" s="85"/>
      <c r="BD7" s="82" t="s">
        <v>7</v>
      </c>
      <c r="BE7" s="85"/>
      <c r="BF7" s="34"/>
      <c r="BG7" s="66"/>
      <c r="BH7" s="158"/>
      <c r="BI7" s="160"/>
      <c r="BJ7" s="160"/>
      <c r="BK7" s="160"/>
      <c r="BL7" s="161"/>
      <c r="BM7" s="101"/>
      <c r="BN7" s="101"/>
      <c r="BO7" s="164"/>
    </row>
    <row r="8" spans="1:67">
      <c r="A8" s="30" t="s">
        <v>8</v>
      </c>
      <c r="B8" s="30"/>
      <c r="D8" s="29"/>
      <c r="I8" s="68"/>
      <c r="J8" s="69"/>
      <c r="K8" s="69"/>
      <c r="L8" s="68"/>
      <c r="M8" s="34"/>
      <c r="V8" s="97"/>
      <c r="Z8" s="29"/>
      <c r="AE8" s="127"/>
      <c r="AF8" s="127"/>
      <c r="AG8" s="127"/>
      <c r="AH8" s="127"/>
      <c r="AI8" s="101"/>
      <c r="AJ8" s="101"/>
      <c r="AK8" s="101"/>
      <c r="AL8" s="101"/>
      <c r="AM8" s="101"/>
      <c r="AN8" s="101"/>
      <c r="AO8" s="101"/>
      <c r="AP8" s="101"/>
      <c r="AQ8" s="101"/>
      <c r="AR8" s="97"/>
      <c r="AW8" s="29"/>
      <c r="BB8" s="127"/>
      <c r="BC8" s="127"/>
      <c r="BD8" s="127"/>
      <c r="BE8" s="127"/>
      <c r="BF8" s="101"/>
      <c r="BG8" s="101"/>
      <c r="BH8" s="101"/>
      <c r="BI8" s="101"/>
      <c r="BJ8" s="101"/>
      <c r="BK8" s="101"/>
      <c r="BL8" s="101"/>
      <c r="BM8" s="101"/>
      <c r="BN8" s="101"/>
      <c r="BO8" s="97"/>
    </row>
    <row r="9" ht="16.5" customHeight="1" spans="1:67">
      <c r="A9" s="30"/>
      <c r="B9" s="30"/>
      <c r="D9" s="29"/>
      <c r="I9" s="68"/>
      <c r="J9" s="69"/>
      <c r="K9" s="69"/>
      <c r="L9" s="68"/>
      <c r="M9" s="34"/>
      <c r="V9" s="97"/>
      <c r="Z9" s="29"/>
      <c r="AA9" s="101"/>
      <c r="AB9" s="101"/>
      <c r="AC9" s="101"/>
      <c r="AD9" s="101"/>
      <c r="AE9" s="127"/>
      <c r="AF9" s="127"/>
      <c r="AG9" s="127"/>
      <c r="AH9" s="127"/>
      <c r="AI9" s="101"/>
      <c r="AJ9" s="101"/>
      <c r="AK9" s="101"/>
      <c r="AL9" s="101"/>
      <c r="AM9" s="101"/>
      <c r="AN9" s="101"/>
      <c r="AO9" s="101"/>
      <c r="AP9" s="101"/>
      <c r="AQ9" s="101"/>
      <c r="AR9" s="97"/>
      <c r="AW9" s="29"/>
      <c r="AX9" s="101"/>
      <c r="AY9" s="101"/>
      <c r="AZ9" s="101"/>
      <c r="BA9" s="101"/>
      <c r="BB9" s="127"/>
      <c r="BC9" s="127"/>
      <c r="BD9" s="127"/>
      <c r="BE9" s="127"/>
      <c r="BF9" s="101"/>
      <c r="BG9" s="101"/>
      <c r="BH9" s="101"/>
      <c r="BI9" s="101"/>
      <c r="BJ9" s="101"/>
      <c r="BK9" s="101"/>
      <c r="BL9" s="101"/>
      <c r="BM9" s="101"/>
      <c r="BN9" s="101"/>
      <c r="BO9" s="97"/>
    </row>
    <row r="10" ht="16.5" customHeight="1" spans="4:70">
      <c r="D10" s="29"/>
      <c r="E10" s="36" t="s">
        <v>9</v>
      </c>
      <c r="F10" s="37"/>
      <c r="G10" s="38" t="s">
        <v>10</v>
      </c>
      <c r="H10" s="38"/>
      <c r="I10" s="70">
        <v>25000</v>
      </c>
      <c r="J10" s="70"/>
      <c r="K10" s="70"/>
      <c r="L10" s="71"/>
      <c r="M10" s="34"/>
      <c r="N10" s="36" t="s">
        <v>11</v>
      </c>
      <c r="O10" s="37"/>
      <c r="P10" s="38" t="s">
        <v>10</v>
      </c>
      <c r="Q10" s="38"/>
      <c r="R10" s="70">
        <v>15000</v>
      </c>
      <c r="S10" s="70"/>
      <c r="T10" s="70"/>
      <c r="U10" s="71"/>
      <c r="V10" s="97"/>
      <c r="Z10" s="29"/>
      <c r="AA10" s="102" t="s">
        <v>12</v>
      </c>
      <c r="AB10" s="103"/>
      <c r="AC10" s="103"/>
      <c r="AD10" s="103"/>
      <c r="AE10" s="128"/>
      <c r="AG10" s="108" t="s">
        <v>13</v>
      </c>
      <c r="AH10" s="109"/>
      <c r="AI10" s="109"/>
      <c r="AJ10" s="109"/>
      <c r="AK10" s="131"/>
      <c r="AM10" s="108" t="s">
        <v>14</v>
      </c>
      <c r="AN10" s="109"/>
      <c r="AO10" s="109"/>
      <c r="AP10" s="109"/>
      <c r="AQ10" s="131"/>
      <c r="AR10" s="97"/>
      <c r="AS10" s="152" t="s">
        <v>15</v>
      </c>
      <c r="AT10" s="152"/>
      <c r="AU10" s="152"/>
      <c r="AW10" s="29"/>
      <c r="AX10" s="108" t="s">
        <v>16</v>
      </c>
      <c r="AY10" s="109"/>
      <c r="AZ10" s="109"/>
      <c r="BA10" s="109"/>
      <c r="BB10" s="131"/>
      <c r="BD10" s="108" t="s">
        <v>17</v>
      </c>
      <c r="BE10" s="109"/>
      <c r="BF10" s="109"/>
      <c r="BG10" s="109"/>
      <c r="BH10" s="131"/>
      <c r="BJ10" s="108" t="s">
        <v>18</v>
      </c>
      <c r="BK10" s="109"/>
      <c r="BL10" s="109"/>
      <c r="BM10" s="109"/>
      <c r="BN10" s="131"/>
      <c r="BO10" s="97"/>
      <c r="BP10" s="152" t="s">
        <v>15</v>
      </c>
      <c r="BQ10" s="152"/>
      <c r="BR10" s="152"/>
    </row>
    <row r="11" ht="17.55" spans="4:70">
      <c r="D11" s="31"/>
      <c r="E11" s="39"/>
      <c r="G11" s="26"/>
      <c r="H11" s="26"/>
      <c r="I11" s="72"/>
      <c r="J11" s="72"/>
      <c r="K11" s="72"/>
      <c r="L11" s="73"/>
      <c r="M11" s="78"/>
      <c r="N11" s="39"/>
      <c r="P11" s="26"/>
      <c r="Q11" s="26"/>
      <c r="R11" s="72"/>
      <c r="S11" s="72"/>
      <c r="T11" s="72"/>
      <c r="U11" s="73"/>
      <c r="V11" s="97"/>
      <c r="Z11" s="31"/>
      <c r="AA11" s="104"/>
      <c r="AB11" s="105"/>
      <c r="AC11" s="105"/>
      <c r="AD11" s="105"/>
      <c r="AE11" s="129"/>
      <c r="AG11" s="110"/>
      <c r="AH11" s="111"/>
      <c r="AI11" s="111"/>
      <c r="AJ11" s="111"/>
      <c r="AK11" s="132"/>
      <c r="AM11" s="110"/>
      <c r="AN11" s="111"/>
      <c r="AO11" s="111"/>
      <c r="AP11" s="111"/>
      <c r="AQ11" s="132"/>
      <c r="AR11" s="97"/>
      <c r="AS11" s="152"/>
      <c r="AT11" s="152"/>
      <c r="AU11" s="152"/>
      <c r="AW11" s="31"/>
      <c r="AX11" s="110"/>
      <c r="AY11" s="111"/>
      <c r="AZ11" s="111"/>
      <c r="BA11" s="111"/>
      <c r="BB11" s="132"/>
      <c r="BD11" s="110"/>
      <c r="BE11" s="111"/>
      <c r="BF11" s="111"/>
      <c r="BG11" s="111"/>
      <c r="BH11" s="132"/>
      <c r="BJ11" s="110"/>
      <c r="BK11" s="111"/>
      <c r="BL11" s="111"/>
      <c r="BM11" s="111"/>
      <c r="BN11" s="132"/>
      <c r="BO11" s="97"/>
      <c r="BP11" s="152"/>
      <c r="BQ11" s="152"/>
      <c r="BR11" s="152"/>
    </row>
    <row r="12" ht="16.5" customHeight="1" spans="4:70">
      <c r="D12" s="31"/>
      <c r="E12" s="39"/>
      <c r="G12" s="26" t="s">
        <v>19</v>
      </c>
      <c r="H12" s="26"/>
      <c r="I12" s="72">
        <v>1200000</v>
      </c>
      <c r="J12" s="72"/>
      <c r="K12" s="72"/>
      <c r="L12" s="73"/>
      <c r="M12" s="78"/>
      <c r="N12" s="39"/>
      <c r="P12" s="26" t="s">
        <v>19</v>
      </c>
      <c r="Q12" s="26"/>
      <c r="R12" s="72">
        <v>1500000</v>
      </c>
      <c r="S12" s="72"/>
      <c r="T12" s="72"/>
      <c r="U12" s="73"/>
      <c r="V12" s="97"/>
      <c r="Z12" s="31"/>
      <c r="AA12" s="106"/>
      <c r="AB12" s="107"/>
      <c r="AC12" s="107"/>
      <c r="AD12" s="107"/>
      <c r="AE12" s="130"/>
      <c r="AF12" s="106"/>
      <c r="AG12" s="107"/>
      <c r="AH12" s="107"/>
      <c r="AI12" s="107"/>
      <c r="AJ12" s="87"/>
      <c r="AK12" s="106"/>
      <c r="AL12" s="107"/>
      <c r="AM12" s="107"/>
      <c r="AN12" s="107"/>
      <c r="AO12" s="130"/>
      <c r="AP12" s="133"/>
      <c r="AQ12" s="133"/>
      <c r="AR12" s="97"/>
      <c r="AS12" s="152"/>
      <c r="AT12" s="152"/>
      <c r="AU12" s="152"/>
      <c r="AW12" s="31"/>
      <c r="AX12" s="106"/>
      <c r="AY12" s="107"/>
      <c r="AZ12" s="107"/>
      <c r="BA12" s="107"/>
      <c r="BB12" s="130"/>
      <c r="BC12" s="106"/>
      <c r="BD12" s="107"/>
      <c r="BE12" s="107"/>
      <c r="BF12" s="107"/>
      <c r="BG12" s="87"/>
      <c r="BH12" s="106"/>
      <c r="BI12" s="107"/>
      <c r="BJ12" s="107"/>
      <c r="BK12" s="107"/>
      <c r="BL12" s="130"/>
      <c r="BM12" s="133"/>
      <c r="BN12" s="133"/>
      <c r="BO12" s="97"/>
      <c r="BP12" s="152"/>
      <c r="BQ12" s="152"/>
      <c r="BR12" s="152"/>
    </row>
    <row r="13" ht="16.5" customHeight="1" spans="4:70">
      <c r="D13" s="31"/>
      <c r="E13" s="39"/>
      <c r="G13" s="26"/>
      <c r="H13" s="26"/>
      <c r="I13" s="72"/>
      <c r="J13" s="72"/>
      <c r="K13" s="72"/>
      <c r="L13" s="73"/>
      <c r="M13" s="78"/>
      <c r="N13" s="39"/>
      <c r="P13" s="26"/>
      <c r="Q13" s="26"/>
      <c r="R13" s="72"/>
      <c r="S13" s="72"/>
      <c r="T13" s="72"/>
      <c r="U13" s="73"/>
      <c r="V13" s="97"/>
      <c r="Z13" s="31"/>
      <c r="AA13" s="108" t="s">
        <v>18</v>
      </c>
      <c r="AB13" s="109"/>
      <c r="AC13" s="109"/>
      <c r="AD13" s="109"/>
      <c r="AE13" s="131"/>
      <c r="AF13" s="106"/>
      <c r="AG13" s="108" t="s">
        <v>20</v>
      </c>
      <c r="AH13" s="109"/>
      <c r="AI13" s="109"/>
      <c r="AJ13" s="109"/>
      <c r="AK13" s="131"/>
      <c r="AL13" s="107"/>
      <c r="AM13" s="108" t="s">
        <v>21</v>
      </c>
      <c r="AN13" s="109"/>
      <c r="AO13" s="109"/>
      <c r="AP13" s="109"/>
      <c r="AQ13" s="131"/>
      <c r="AR13" s="97"/>
      <c r="AS13" s="152"/>
      <c r="AT13" s="152"/>
      <c r="AU13" s="152"/>
      <c r="AW13" s="31"/>
      <c r="AX13" s="108" t="s">
        <v>22</v>
      </c>
      <c r="AY13" s="109"/>
      <c r="AZ13" s="109"/>
      <c r="BA13" s="109"/>
      <c r="BB13" s="131"/>
      <c r="BC13" s="106"/>
      <c r="BD13" s="108" t="s">
        <v>23</v>
      </c>
      <c r="BE13" s="109"/>
      <c r="BF13" s="109"/>
      <c r="BG13" s="109"/>
      <c r="BH13" s="131"/>
      <c r="BI13" s="107"/>
      <c r="BJ13" s="102" t="s">
        <v>24</v>
      </c>
      <c r="BK13" s="103"/>
      <c r="BL13" s="103"/>
      <c r="BM13" s="103"/>
      <c r="BN13" s="128"/>
      <c r="BO13" s="97"/>
      <c r="BP13" s="152"/>
      <c r="BQ13" s="152"/>
      <c r="BR13" s="152"/>
    </row>
    <row r="14" ht="17.55" spans="4:70">
      <c r="D14" s="31"/>
      <c r="E14" s="39"/>
      <c r="G14" s="26" t="s">
        <v>25</v>
      </c>
      <c r="H14" s="26"/>
      <c r="I14" s="72">
        <f>I12/I36</f>
        <v>30000</v>
      </c>
      <c r="J14" s="72"/>
      <c r="K14" s="72"/>
      <c r="L14" s="73"/>
      <c r="M14" s="78"/>
      <c r="N14" s="39"/>
      <c r="P14" s="26" t="s">
        <v>25</v>
      </c>
      <c r="Q14" s="26"/>
      <c r="R14" s="72">
        <f>R12/I36</f>
        <v>37500</v>
      </c>
      <c r="S14" s="72"/>
      <c r="T14" s="72"/>
      <c r="U14" s="73"/>
      <c r="V14" s="97"/>
      <c r="Z14" s="31"/>
      <c r="AA14" s="110"/>
      <c r="AB14" s="111"/>
      <c r="AC14" s="111"/>
      <c r="AD14" s="111"/>
      <c r="AE14" s="132"/>
      <c r="AF14" s="106"/>
      <c r="AG14" s="110"/>
      <c r="AH14" s="111"/>
      <c r="AI14" s="111"/>
      <c r="AJ14" s="111"/>
      <c r="AK14" s="132"/>
      <c r="AL14" s="107"/>
      <c r="AM14" s="110"/>
      <c r="AN14" s="111"/>
      <c r="AO14" s="111"/>
      <c r="AP14" s="111"/>
      <c r="AQ14" s="132"/>
      <c r="AR14" s="97"/>
      <c r="AT14" s="153"/>
      <c r="AU14" s="153"/>
      <c r="AW14" s="31"/>
      <c r="AX14" s="110"/>
      <c r="AY14" s="111"/>
      <c r="AZ14" s="111"/>
      <c r="BA14" s="111"/>
      <c r="BB14" s="132"/>
      <c r="BC14" s="106"/>
      <c r="BD14" s="110"/>
      <c r="BE14" s="111"/>
      <c r="BF14" s="111"/>
      <c r="BG14" s="111"/>
      <c r="BH14" s="132"/>
      <c r="BI14" s="107"/>
      <c r="BJ14" s="104"/>
      <c r="BK14" s="105"/>
      <c r="BL14" s="105"/>
      <c r="BM14" s="105"/>
      <c r="BN14" s="129"/>
      <c r="BO14" s="97"/>
      <c r="BQ14" s="153"/>
      <c r="BR14" s="153"/>
    </row>
    <row r="15" ht="21" customHeight="1" spans="4:70">
      <c r="D15" s="31"/>
      <c r="E15" s="40"/>
      <c r="F15" s="41"/>
      <c r="G15" s="42"/>
      <c r="H15" s="42"/>
      <c r="I15" s="74"/>
      <c r="J15" s="74"/>
      <c r="K15" s="74"/>
      <c r="L15" s="75"/>
      <c r="M15" s="78"/>
      <c r="N15" s="40"/>
      <c r="O15" s="41"/>
      <c r="P15" s="42"/>
      <c r="Q15" s="42"/>
      <c r="R15" s="74"/>
      <c r="S15" s="74"/>
      <c r="T15" s="74"/>
      <c r="U15" s="75"/>
      <c r="V15" s="97"/>
      <c r="Z15" s="31"/>
      <c r="AA15" s="106"/>
      <c r="AB15" s="107"/>
      <c r="AC15" s="107"/>
      <c r="AD15" s="107"/>
      <c r="AE15" s="130"/>
      <c r="AF15" s="106"/>
      <c r="AG15" s="107"/>
      <c r="AH15" s="107"/>
      <c r="AI15" s="107"/>
      <c r="AJ15" s="87"/>
      <c r="AK15" s="106"/>
      <c r="AL15" s="107"/>
      <c r="AM15" s="107"/>
      <c r="AN15" s="107"/>
      <c r="AO15" s="130"/>
      <c r="AP15" s="133"/>
      <c r="AQ15" s="133"/>
      <c r="AR15" s="97"/>
      <c r="AT15" s="153"/>
      <c r="AU15" s="153"/>
      <c r="AW15" s="31"/>
      <c r="AX15" s="106"/>
      <c r="AY15" s="107"/>
      <c r="AZ15" s="107"/>
      <c r="BA15" s="107"/>
      <c r="BB15" s="130"/>
      <c r="BC15" s="106"/>
      <c r="BD15" s="107"/>
      <c r="BE15" s="107"/>
      <c r="BF15" s="107"/>
      <c r="BG15" s="87"/>
      <c r="BH15" s="106"/>
      <c r="BI15" s="107"/>
      <c r="BJ15" s="107"/>
      <c r="BK15" s="107"/>
      <c r="BL15" s="130"/>
      <c r="BM15" s="133"/>
      <c r="BN15" s="133"/>
      <c r="BO15" s="97"/>
      <c r="BQ15" s="153"/>
      <c r="BR15" s="153"/>
    </row>
    <row r="16" ht="21" customHeight="1" spans="4:70">
      <c r="D16" s="31"/>
      <c r="H16" s="26"/>
      <c r="I16" s="26"/>
      <c r="J16" s="72"/>
      <c r="K16" s="72"/>
      <c r="L16" s="72"/>
      <c r="M16" s="26"/>
      <c r="Q16" s="26"/>
      <c r="R16" s="26"/>
      <c r="S16" s="72"/>
      <c r="T16" s="72"/>
      <c r="U16" s="72"/>
      <c r="V16" s="97"/>
      <c r="Z16" s="31"/>
      <c r="AA16" s="101"/>
      <c r="AB16" s="101"/>
      <c r="AC16" s="87"/>
      <c r="AD16" s="87"/>
      <c r="AE16" s="133"/>
      <c r="AF16" s="133"/>
      <c r="AG16" s="133"/>
      <c r="AH16" s="133"/>
      <c r="AI16" s="87"/>
      <c r="AJ16" s="101"/>
      <c r="AK16" s="101"/>
      <c r="AL16" s="87"/>
      <c r="AM16" s="87"/>
      <c r="AN16" s="133"/>
      <c r="AO16" s="133"/>
      <c r="AP16" s="133"/>
      <c r="AQ16" s="133"/>
      <c r="AR16" s="97"/>
      <c r="AT16" s="153"/>
      <c r="AU16" s="153"/>
      <c r="AW16" s="31"/>
      <c r="AX16" s="101"/>
      <c r="AY16" s="101"/>
      <c r="AZ16" s="87"/>
      <c r="BA16" s="87"/>
      <c r="BB16" s="133"/>
      <c r="BC16" s="133"/>
      <c r="BD16" s="133"/>
      <c r="BE16" s="133"/>
      <c r="BF16" s="87"/>
      <c r="BG16" s="101"/>
      <c r="BH16" s="101"/>
      <c r="BI16" s="87"/>
      <c r="BJ16" s="87"/>
      <c r="BK16" s="133"/>
      <c r="BL16" s="133"/>
      <c r="BM16" s="133"/>
      <c r="BN16" s="133"/>
      <c r="BO16" s="97"/>
      <c r="BQ16" s="153"/>
      <c r="BR16" s="153"/>
    </row>
    <row r="17" spans="4:70">
      <c r="D17" s="31"/>
      <c r="E17" s="36" t="s">
        <v>26</v>
      </c>
      <c r="F17" s="37"/>
      <c r="G17" s="38" t="s">
        <v>10</v>
      </c>
      <c r="H17" s="38"/>
      <c r="I17" s="70">
        <v>25000</v>
      </c>
      <c r="J17" s="70"/>
      <c r="K17" s="70"/>
      <c r="L17" s="71"/>
      <c r="M17" s="34"/>
      <c r="N17" s="36" t="s">
        <v>27</v>
      </c>
      <c r="O17" s="37"/>
      <c r="P17" s="38" t="s">
        <v>10</v>
      </c>
      <c r="Q17" s="38"/>
      <c r="R17" s="86"/>
      <c r="S17" s="70">
        <v>120000</v>
      </c>
      <c r="T17" s="70"/>
      <c r="U17" s="71"/>
      <c r="V17" s="97"/>
      <c r="Z17" s="112" t="s">
        <v>0</v>
      </c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46"/>
      <c r="AT17" s="153"/>
      <c r="AU17" s="153"/>
      <c r="AW17" s="112" t="s">
        <v>0</v>
      </c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46"/>
      <c r="BQ17" s="153"/>
      <c r="BR17" s="153"/>
    </row>
    <row r="18" ht="21" customHeight="1" spans="4:70">
      <c r="D18" s="31"/>
      <c r="E18" s="39"/>
      <c r="G18" s="26"/>
      <c r="H18" s="26"/>
      <c r="I18" s="72"/>
      <c r="J18" s="72"/>
      <c r="K18" s="72"/>
      <c r="L18" s="73"/>
      <c r="M18" s="78"/>
      <c r="N18" s="39"/>
      <c r="O18" s="34"/>
      <c r="P18" s="78"/>
      <c r="Q18" s="78"/>
      <c r="R18" s="87"/>
      <c r="S18" s="88"/>
      <c r="T18" s="88"/>
      <c r="U18" s="73"/>
      <c r="V18" s="97"/>
      <c r="Z18" s="114" t="s">
        <v>28</v>
      </c>
      <c r="AA18" s="115"/>
      <c r="AB18" s="115" t="s">
        <v>29</v>
      </c>
      <c r="AC18" s="115"/>
      <c r="AD18" s="115"/>
      <c r="AE18" s="115"/>
      <c r="AF18" s="115"/>
      <c r="AG18" s="138"/>
      <c r="AH18" s="115" t="s">
        <v>30</v>
      </c>
      <c r="AI18" s="115"/>
      <c r="AJ18" s="115"/>
      <c r="AK18" s="138"/>
      <c r="AL18" s="138"/>
      <c r="AM18" s="138"/>
      <c r="AN18" s="115" t="s">
        <v>31</v>
      </c>
      <c r="AO18" s="115"/>
      <c r="AP18" s="115"/>
      <c r="AQ18" s="115"/>
      <c r="AR18" s="147"/>
      <c r="AT18" s="153"/>
      <c r="AU18" s="153"/>
      <c r="AW18" s="114" t="s">
        <v>28</v>
      </c>
      <c r="AX18" s="115"/>
      <c r="AY18" s="115" t="s">
        <v>29</v>
      </c>
      <c r="AZ18" s="115"/>
      <c r="BA18" s="115"/>
      <c r="BB18" s="115"/>
      <c r="BC18" s="115"/>
      <c r="BD18" s="138"/>
      <c r="BE18" s="115" t="s">
        <v>32</v>
      </c>
      <c r="BF18" s="115"/>
      <c r="BG18" s="115"/>
      <c r="BH18" s="138"/>
      <c r="BI18" s="138"/>
      <c r="BJ18" s="138"/>
      <c r="BK18" s="115" t="s">
        <v>31</v>
      </c>
      <c r="BL18" s="115"/>
      <c r="BM18" s="115"/>
      <c r="BN18" s="115"/>
      <c r="BO18" s="147"/>
      <c r="BQ18" s="153"/>
      <c r="BR18" s="153"/>
    </row>
    <row r="19" ht="16.5" customHeight="1" spans="4:70">
      <c r="D19" s="31"/>
      <c r="E19" s="39"/>
      <c r="G19" s="26" t="s">
        <v>19</v>
      </c>
      <c r="H19" s="26"/>
      <c r="I19" s="72">
        <v>1200000</v>
      </c>
      <c r="J19" s="72"/>
      <c r="K19" s="72"/>
      <c r="L19" s="73"/>
      <c r="M19" s="78"/>
      <c r="N19" s="39"/>
      <c r="O19" s="34"/>
      <c r="P19" s="78" t="s">
        <v>19</v>
      </c>
      <c r="Q19" s="78"/>
      <c r="R19" s="87"/>
      <c r="S19" s="88">
        <v>900000</v>
      </c>
      <c r="T19" s="88"/>
      <c r="U19" s="73"/>
      <c r="V19" s="97"/>
      <c r="Z19" s="116">
        <v>1</v>
      </c>
      <c r="AA19" s="117"/>
      <c r="AB19" s="118" t="s">
        <v>33</v>
      </c>
      <c r="AC19" s="118"/>
      <c r="AD19" s="118"/>
      <c r="AE19" s="118"/>
      <c r="AF19" s="118"/>
      <c r="AG19" s="27"/>
      <c r="AH19" s="27"/>
      <c r="AI19" s="27"/>
      <c r="AJ19" s="27"/>
      <c r="AK19" s="27"/>
      <c r="AL19" s="27"/>
      <c r="AM19" s="27"/>
      <c r="AN19" s="144">
        <v>10000</v>
      </c>
      <c r="AO19" s="144"/>
      <c r="AP19" s="144"/>
      <c r="AQ19" s="144"/>
      <c r="AR19" s="148"/>
      <c r="AS19" s="152" t="s">
        <v>34</v>
      </c>
      <c r="AT19" s="152"/>
      <c r="AU19" s="152"/>
      <c r="AW19" s="116">
        <v>1</v>
      </c>
      <c r="AX19" s="117"/>
      <c r="AY19" s="117" t="s">
        <v>35</v>
      </c>
      <c r="AZ19" s="117"/>
      <c r="BA19" s="117"/>
      <c r="BB19" s="117"/>
      <c r="BC19" s="117"/>
      <c r="BD19" s="66"/>
      <c r="BE19" s="34"/>
      <c r="BF19" s="34"/>
      <c r="BG19" s="34"/>
      <c r="BH19" s="34"/>
      <c r="BI19" s="34"/>
      <c r="BJ19" s="34"/>
      <c r="BK19" s="34"/>
      <c r="BL19" s="162">
        <v>16800</v>
      </c>
      <c r="BM19" s="162"/>
      <c r="BN19" s="162"/>
      <c r="BO19" s="165"/>
      <c r="BP19" s="152" t="s">
        <v>34</v>
      </c>
      <c r="BQ19" s="152"/>
      <c r="BR19" s="152"/>
    </row>
    <row r="20" ht="16.5" customHeight="1" spans="4:70">
      <c r="D20" s="31"/>
      <c r="E20" s="39"/>
      <c r="G20" s="26"/>
      <c r="H20" s="26"/>
      <c r="I20" s="72"/>
      <c r="J20" s="72"/>
      <c r="K20" s="72"/>
      <c r="L20" s="73"/>
      <c r="M20" s="78"/>
      <c r="N20" s="39"/>
      <c r="O20" s="34"/>
      <c r="P20" s="78"/>
      <c r="Q20" s="78"/>
      <c r="R20" s="87"/>
      <c r="S20" s="88"/>
      <c r="T20" s="88"/>
      <c r="U20" s="73"/>
      <c r="V20" s="97"/>
      <c r="Z20" s="116"/>
      <c r="AA20" s="117"/>
      <c r="AB20" s="118"/>
      <c r="AC20" s="118"/>
      <c r="AD20" s="118"/>
      <c r="AE20" s="118"/>
      <c r="AF20" s="118"/>
      <c r="AG20" s="27"/>
      <c r="AH20" s="27"/>
      <c r="AI20" s="27"/>
      <c r="AJ20" s="27"/>
      <c r="AK20" s="27"/>
      <c r="AL20" s="27"/>
      <c r="AM20" s="27"/>
      <c r="AN20" s="144"/>
      <c r="AO20" s="144"/>
      <c r="AP20" s="144"/>
      <c r="AQ20" s="144"/>
      <c r="AR20" s="148"/>
      <c r="AS20" s="152"/>
      <c r="AT20" s="152"/>
      <c r="AU20" s="152"/>
      <c r="AW20" s="116"/>
      <c r="AX20" s="117"/>
      <c r="AY20" s="117"/>
      <c r="AZ20" s="117"/>
      <c r="BA20" s="117"/>
      <c r="BB20" s="117"/>
      <c r="BC20" s="117"/>
      <c r="BD20" s="66"/>
      <c r="BE20" s="34"/>
      <c r="BF20" s="34"/>
      <c r="BG20" s="34"/>
      <c r="BH20" s="34"/>
      <c r="BI20" s="34"/>
      <c r="BJ20" s="34"/>
      <c r="BK20" s="34"/>
      <c r="BL20" s="162"/>
      <c r="BM20" s="162"/>
      <c r="BN20" s="162"/>
      <c r="BO20" s="148" t="s">
        <v>36</v>
      </c>
      <c r="BP20" s="152"/>
      <c r="BQ20" s="152"/>
      <c r="BR20" s="152"/>
    </row>
    <row r="21" ht="16.5" customHeight="1" spans="4:70">
      <c r="D21" s="31"/>
      <c r="E21" s="39"/>
      <c r="G21" s="26" t="s">
        <v>25</v>
      </c>
      <c r="H21" s="26"/>
      <c r="I21" s="72">
        <f>I19/I36</f>
        <v>30000</v>
      </c>
      <c r="J21" s="72"/>
      <c r="K21" s="72"/>
      <c r="L21" s="73"/>
      <c r="M21" s="78"/>
      <c r="N21" s="39"/>
      <c r="O21" s="34"/>
      <c r="P21" s="78" t="s">
        <v>25</v>
      </c>
      <c r="Q21" s="78"/>
      <c r="R21" s="87"/>
      <c r="S21" s="88">
        <f>S19/I36</f>
        <v>22500</v>
      </c>
      <c r="T21" s="88"/>
      <c r="U21" s="73"/>
      <c r="V21" s="97"/>
      <c r="Z21" s="119"/>
      <c r="AA21" s="120"/>
      <c r="AB21" s="120"/>
      <c r="AC21" s="120"/>
      <c r="AD21" s="120"/>
      <c r="AE21" s="120"/>
      <c r="AF21" s="120"/>
      <c r="AG21" s="58"/>
      <c r="AH21" s="139" t="s">
        <v>37</v>
      </c>
      <c r="AI21" s="139"/>
      <c r="AJ21" s="139"/>
      <c r="AK21" s="58"/>
      <c r="AL21" s="58"/>
      <c r="AM21" s="58"/>
      <c r="AN21" s="58"/>
      <c r="AO21" s="149" t="s">
        <v>38</v>
      </c>
      <c r="AP21" s="149"/>
      <c r="AQ21" s="149"/>
      <c r="AR21" s="150"/>
      <c r="AS21" s="152"/>
      <c r="AT21" s="152"/>
      <c r="AU21" s="152"/>
      <c r="AW21" s="154"/>
      <c r="AX21" s="155"/>
      <c r="AY21" s="155"/>
      <c r="AZ21" s="155"/>
      <c r="BA21" s="155"/>
      <c r="BB21" s="155"/>
      <c r="BC21" s="155"/>
      <c r="BD21" s="156" t="s">
        <v>39</v>
      </c>
      <c r="BE21" s="156"/>
      <c r="BF21" s="156"/>
      <c r="BG21" s="156"/>
      <c r="BH21" s="159"/>
      <c r="BI21" s="156"/>
      <c r="BJ21" s="156"/>
      <c r="BK21" s="156"/>
      <c r="BL21" s="163" t="s">
        <v>40</v>
      </c>
      <c r="BM21" s="163"/>
      <c r="BN21" s="159"/>
      <c r="BO21" s="166"/>
      <c r="BP21" s="152"/>
      <c r="BQ21" s="152"/>
      <c r="BR21" s="152"/>
    </row>
    <row r="22" ht="16.5" customHeight="1" spans="4:70">
      <c r="D22" s="31"/>
      <c r="E22" s="40"/>
      <c r="F22" s="41"/>
      <c r="G22" s="42"/>
      <c r="H22" s="42"/>
      <c r="I22" s="74"/>
      <c r="J22" s="74"/>
      <c r="K22" s="74"/>
      <c r="L22" s="75"/>
      <c r="M22" s="78"/>
      <c r="N22" s="40"/>
      <c r="O22" s="41"/>
      <c r="P22" s="42"/>
      <c r="Q22" s="42"/>
      <c r="R22" s="49"/>
      <c r="S22" s="74"/>
      <c r="T22" s="74"/>
      <c r="U22" s="75"/>
      <c r="V22" s="97"/>
      <c r="Z22" s="116">
        <v>2</v>
      </c>
      <c r="AA22" s="117"/>
      <c r="AB22" s="117" t="s">
        <v>41</v>
      </c>
      <c r="AC22" s="117"/>
      <c r="AD22" s="117"/>
      <c r="AE22" s="117"/>
      <c r="AF22" s="117"/>
      <c r="AG22" s="27"/>
      <c r="AH22" s="27"/>
      <c r="AI22" s="27"/>
      <c r="AJ22" s="27"/>
      <c r="AK22" s="27"/>
      <c r="AL22" s="27"/>
      <c r="AM22" s="27"/>
      <c r="AN22" s="144">
        <v>10000</v>
      </c>
      <c r="AO22" s="144"/>
      <c r="AP22" s="144"/>
      <c r="AQ22" s="144"/>
      <c r="AR22" s="148"/>
      <c r="AS22" s="152"/>
      <c r="AT22" s="152"/>
      <c r="AU22" s="152"/>
      <c r="AW22" s="116">
        <v>2</v>
      </c>
      <c r="AX22" s="117"/>
      <c r="AY22" s="117" t="s">
        <v>42</v>
      </c>
      <c r="AZ22" s="117"/>
      <c r="BA22" s="117"/>
      <c r="BB22" s="117"/>
      <c r="BC22" s="117"/>
      <c r="BD22" s="34"/>
      <c r="BE22" s="34"/>
      <c r="BF22" s="34"/>
      <c r="BG22" s="34"/>
      <c r="BH22" s="34"/>
      <c r="BI22" s="34"/>
      <c r="BJ22" s="34"/>
      <c r="BK22" s="34"/>
      <c r="BL22" s="162">
        <v>15500</v>
      </c>
      <c r="BM22" s="162"/>
      <c r="BN22" s="162"/>
      <c r="BO22" s="165"/>
      <c r="BP22" s="152"/>
      <c r="BQ22" s="152"/>
      <c r="BR22" s="152"/>
    </row>
    <row r="23" ht="16.5" customHeight="1" spans="4:70">
      <c r="D23" s="31"/>
      <c r="H23" s="26"/>
      <c r="I23" s="26"/>
      <c r="J23" s="72"/>
      <c r="K23" s="72"/>
      <c r="L23" s="72"/>
      <c r="M23" s="26"/>
      <c r="Q23" s="26"/>
      <c r="R23" s="26"/>
      <c r="S23" s="72"/>
      <c r="T23" s="72"/>
      <c r="U23" s="72"/>
      <c r="V23" s="97"/>
      <c r="Z23" s="116"/>
      <c r="AA23" s="117"/>
      <c r="AB23" s="117"/>
      <c r="AC23" s="117"/>
      <c r="AD23" s="117"/>
      <c r="AE23" s="117"/>
      <c r="AF23" s="117"/>
      <c r="AG23" s="27"/>
      <c r="AH23" s="27"/>
      <c r="AI23" s="27"/>
      <c r="AJ23" s="27"/>
      <c r="AK23" s="27"/>
      <c r="AL23" s="27"/>
      <c r="AM23" s="27"/>
      <c r="AN23" s="144"/>
      <c r="AO23" s="144"/>
      <c r="AP23" s="144"/>
      <c r="AQ23" s="144"/>
      <c r="AR23" s="148"/>
      <c r="AS23" s="152"/>
      <c r="AT23" s="152"/>
      <c r="AU23" s="152"/>
      <c r="AW23" s="116"/>
      <c r="AX23" s="117"/>
      <c r="AY23" s="117"/>
      <c r="AZ23" s="117"/>
      <c r="BA23" s="117"/>
      <c r="BB23" s="117"/>
      <c r="BC23" s="117"/>
      <c r="BD23" s="34"/>
      <c r="BE23" s="34"/>
      <c r="BF23" s="34"/>
      <c r="BG23" s="34"/>
      <c r="BH23" s="34"/>
      <c r="BI23" s="34"/>
      <c r="BJ23" s="34"/>
      <c r="BK23" s="34"/>
      <c r="BL23" s="162"/>
      <c r="BM23" s="162"/>
      <c r="BN23" s="162"/>
      <c r="BO23" s="148" t="s">
        <v>36</v>
      </c>
      <c r="BP23" s="152"/>
      <c r="BQ23" s="152"/>
      <c r="BR23" s="152"/>
    </row>
    <row r="24" ht="16.5" customHeight="1" spans="4:70">
      <c r="D24" s="32"/>
      <c r="F24" s="43" t="s">
        <v>43</v>
      </c>
      <c r="G24" s="38"/>
      <c r="H24" s="44"/>
      <c r="I24" s="46"/>
      <c r="J24" s="43" t="s">
        <v>44</v>
      </c>
      <c r="K24" s="38"/>
      <c r="L24" s="44"/>
      <c r="M24" s="46"/>
      <c r="N24" s="43" t="s">
        <v>45</v>
      </c>
      <c r="O24" s="38"/>
      <c r="P24" s="44"/>
      <c r="Q24" s="46"/>
      <c r="R24" s="43" t="s">
        <v>46</v>
      </c>
      <c r="S24" s="38"/>
      <c r="T24" s="44"/>
      <c r="U24" s="46"/>
      <c r="V24" s="97"/>
      <c r="Z24" s="119"/>
      <c r="AA24" s="120"/>
      <c r="AB24" s="120"/>
      <c r="AC24" s="120"/>
      <c r="AD24" s="120"/>
      <c r="AE24" s="120"/>
      <c r="AF24" s="120"/>
      <c r="AG24" s="58"/>
      <c r="AH24" s="139" t="s">
        <v>37</v>
      </c>
      <c r="AI24" s="139"/>
      <c r="AJ24" s="139"/>
      <c r="AK24" s="58"/>
      <c r="AL24" s="58"/>
      <c r="AM24" s="58"/>
      <c r="AN24" s="58"/>
      <c r="AO24" s="149" t="s">
        <v>38</v>
      </c>
      <c r="AP24" s="149"/>
      <c r="AQ24" s="149"/>
      <c r="AR24" s="150"/>
      <c r="AS24" s="152"/>
      <c r="AT24" s="152"/>
      <c r="AU24" s="152"/>
      <c r="AW24" s="154"/>
      <c r="AX24" s="155"/>
      <c r="AY24" s="155"/>
      <c r="AZ24" s="155"/>
      <c r="BA24" s="155"/>
      <c r="BB24" s="155"/>
      <c r="BC24" s="155"/>
      <c r="BD24" s="156" t="s">
        <v>47</v>
      </c>
      <c r="BE24" s="156"/>
      <c r="BF24" s="156"/>
      <c r="BG24" s="156"/>
      <c r="BH24" s="159"/>
      <c r="BI24" s="156"/>
      <c r="BJ24" s="156"/>
      <c r="BK24" s="156"/>
      <c r="BL24" s="163" t="s">
        <v>40</v>
      </c>
      <c r="BM24" s="163"/>
      <c r="BN24" s="159"/>
      <c r="BO24" s="166"/>
      <c r="BP24" s="152"/>
      <c r="BQ24" s="152"/>
      <c r="BR24" s="152"/>
    </row>
    <row r="25" ht="16.5" customHeight="1" spans="4:70">
      <c r="D25" s="32"/>
      <c r="F25" s="45"/>
      <c r="G25" s="46"/>
      <c r="H25" s="47"/>
      <c r="I25" s="46"/>
      <c r="J25" s="45"/>
      <c r="K25" s="46"/>
      <c r="L25" s="47"/>
      <c r="M25" s="46"/>
      <c r="N25" s="45"/>
      <c r="O25" s="46"/>
      <c r="P25" s="47"/>
      <c r="Q25" s="46"/>
      <c r="R25" s="45"/>
      <c r="S25" s="46"/>
      <c r="T25" s="47"/>
      <c r="U25" s="46"/>
      <c r="V25" s="97"/>
      <c r="Z25" s="116">
        <v>3</v>
      </c>
      <c r="AA25" s="117"/>
      <c r="AB25" s="117" t="s">
        <v>48</v>
      </c>
      <c r="AC25" s="117"/>
      <c r="AD25" s="117"/>
      <c r="AE25" s="117"/>
      <c r="AF25" s="117"/>
      <c r="AG25" s="27"/>
      <c r="AH25" s="27"/>
      <c r="AI25" s="27"/>
      <c r="AJ25" s="27"/>
      <c r="AK25" s="27"/>
      <c r="AL25" s="27"/>
      <c r="AM25" s="27"/>
      <c r="AN25" s="144">
        <v>10000</v>
      </c>
      <c r="AO25" s="144"/>
      <c r="AP25" s="144"/>
      <c r="AQ25" s="144"/>
      <c r="AR25" s="148"/>
      <c r="AS25" s="152"/>
      <c r="AT25" s="152"/>
      <c r="AU25" s="152"/>
      <c r="AW25" s="116">
        <v>3</v>
      </c>
      <c r="AX25" s="117"/>
      <c r="AY25" s="117" t="s">
        <v>49</v>
      </c>
      <c r="AZ25" s="117"/>
      <c r="BA25" s="117"/>
      <c r="BB25" s="117"/>
      <c r="BC25" s="117"/>
      <c r="BD25" s="34"/>
      <c r="BE25" s="34"/>
      <c r="BF25" s="34"/>
      <c r="BG25" s="34"/>
      <c r="BH25" s="34"/>
      <c r="BI25" s="34"/>
      <c r="BJ25" s="34"/>
      <c r="BK25" s="34"/>
      <c r="BL25" s="162">
        <v>14900</v>
      </c>
      <c r="BM25" s="162"/>
      <c r="BN25" s="162"/>
      <c r="BO25" s="165"/>
      <c r="BP25" s="152"/>
      <c r="BQ25" s="152"/>
      <c r="BR25" s="152"/>
    </row>
    <row r="26" ht="16.5" customHeight="1" spans="4:70">
      <c r="D26" s="32"/>
      <c r="F26" s="45" t="s">
        <v>50</v>
      </c>
      <c r="G26" s="46"/>
      <c r="H26" s="47"/>
      <c r="I26" s="46"/>
      <c r="J26" s="45" t="s">
        <v>50</v>
      </c>
      <c r="K26" s="46"/>
      <c r="L26" s="47"/>
      <c r="M26" s="46"/>
      <c r="N26" s="45" t="s">
        <v>50</v>
      </c>
      <c r="O26" s="46"/>
      <c r="P26" s="47"/>
      <c r="Q26" s="46"/>
      <c r="R26" s="45" t="s">
        <v>50</v>
      </c>
      <c r="S26" s="46"/>
      <c r="T26" s="47"/>
      <c r="U26" s="46"/>
      <c r="V26" s="98"/>
      <c r="Z26" s="116"/>
      <c r="AA26" s="117"/>
      <c r="AB26" s="117"/>
      <c r="AC26" s="117"/>
      <c r="AD26" s="117"/>
      <c r="AE26" s="117"/>
      <c r="AF26" s="117"/>
      <c r="AG26" s="27"/>
      <c r="AH26" s="27"/>
      <c r="AI26" s="27"/>
      <c r="AJ26" s="27"/>
      <c r="AK26" s="27"/>
      <c r="AL26" s="27"/>
      <c r="AM26" s="27"/>
      <c r="AN26" s="144"/>
      <c r="AO26" s="144"/>
      <c r="AP26" s="144"/>
      <c r="AQ26" s="144"/>
      <c r="AR26" s="148"/>
      <c r="AS26" s="152"/>
      <c r="AT26" s="152"/>
      <c r="AU26" s="152"/>
      <c r="AW26" s="116"/>
      <c r="AX26" s="117"/>
      <c r="AY26" s="117"/>
      <c r="AZ26" s="117"/>
      <c r="BA26" s="117"/>
      <c r="BB26" s="117"/>
      <c r="BC26" s="117"/>
      <c r="BD26" s="34"/>
      <c r="BE26" s="34"/>
      <c r="BF26" s="34"/>
      <c r="BG26" s="34"/>
      <c r="BH26" s="34"/>
      <c r="BI26" s="34"/>
      <c r="BJ26" s="34"/>
      <c r="BK26" s="34"/>
      <c r="BL26" s="162"/>
      <c r="BM26" s="162"/>
      <c r="BN26" s="162"/>
      <c r="BO26" s="148" t="s">
        <v>36</v>
      </c>
      <c r="BP26" s="152"/>
      <c r="BQ26" s="152"/>
      <c r="BR26" s="152"/>
    </row>
    <row r="27" ht="16.5" customHeight="1" spans="4:70">
      <c r="D27" s="32"/>
      <c r="F27" s="45"/>
      <c r="G27" s="46"/>
      <c r="H27" s="47"/>
      <c r="I27" s="46"/>
      <c r="J27" s="45"/>
      <c r="K27" s="46"/>
      <c r="L27" s="47"/>
      <c r="M27" s="46"/>
      <c r="N27" s="45"/>
      <c r="O27" s="46"/>
      <c r="P27" s="47"/>
      <c r="Q27" s="46"/>
      <c r="R27" s="45"/>
      <c r="S27" s="46"/>
      <c r="T27" s="47"/>
      <c r="U27" s="46"/>
      <c r="V27" s="98"/>
      <c r="Z27" s="119"/>
      <c r="AA27" s="120"/>
      <c r="AB27" s="120"/>
      <c r="AC27" s="120"/>
      <c r="AD27" s="120"/>
      <c r="AE27" s="120"/>
      <c r="AF27" s="120"/>
      <c r="AG27" s="58"/>
      <c r="AH27" s="139" t="s">
        <v>51</v>
      </c>
      <c r="AI27" s="139"/>
      <c r="AJ27" s="139"/>
      <c r="AK27" s="58"/>
      <c r="AL27" s="58"/>
      <c r="AM27" s="58"/>
      <c r="AN27" s="58"/>
      <c r="AO27" s="149" t="s">
        <v>38</v>
      </c>
      <c r="AP27" s="149"/>
      <c r="AQ27" s="149"/>
      <c r="AR27" s="150"/>
      <c r="AS27" s="152"/>
      <c r="AT27" s="152"/>
      <c r="AU27" s="152"/>
      <c r="AW27" s="154"/>
      <c r="AX27" s="155"/>
      <c r="AY27" s="155"/>
      <c r="AZ27" s="155"/>
      <c r="BA27" s="155"/>
      <c r="BB27" s="155"/>
      <c r="BC27" s="155"/>
      <c r="BD27" s="156" t="s">
        <v>33</v>
      </c>
      <c r="BE27" s="156"/>
      <c r="BF27" s="156"/>
      <c r="BG27" s="156"/>
      <c r="BH27" s="159"/>
      <c r="BI27" s="156"/>
      <c r="BJ27" s="156"/>
      <c r="BK27" s="156"/>
      <c r="BL27" s="163" t="s">
        <v>40</v>
      </c>
      <c r="BM27" s="163"/>
      <c r="BN27" s="159"/>
      <c r="BO27" s="166"/>
      <c r="BP27" s="152"/>
      <c r="BQ27" s="152"/>
      <c r="BR27" s="152"/>
    </row>
    <row r="28" ht="16.5" customHeight="1" spans="4:70">
      <c r="D28" s="32"/>
      <c r="F28" s="48" t="s">
        <v>19</v>
      </c>
      <c r="G28" s="49"/>
      <c r="H28" s="50"/>
      <c r="I28" s="46"/>
      <c r="J28" s="48" t="s">
        <v>19</v>
      </c>
      <c r="K28" s="49"/>
      <c r="L28" s="50"/>
      <c r="M28" s="46"/>
      <c r="N28" s="48" t="s">
        <v>19</v>
      </c>
      <c r="O28" s="49"/>
      <c r="P28" s="50"/>
      <c r="Q28" s="46"/>
      <c r="R28" s="48" t="s">
        <v>19</v>
      </c>
      <c r="S28" s="49"/>
      <c r="T28" s="50"/>
      <c r="U28" s="46"/>
      <c r="V28" s="98"/>
      <c r="Z28" s="116">
        <v>4</v>
      </c>
      <c r="AA28" s="117"/>
      <c r="AB28" s="117" t="s">
        <v>52</v>
      </c>
      <c r="AC28" s="117"/>
      <c r="AD28" s="117"/>
      <c r="AE28" s="117"/>
      <c r="AF28" s="117"/>
      <c r="AG28" s="27"/>
      <c r="AH28" s="27"/>
      <c r="AI28" s="27"/>
      <c r="AJ28" s="27"/>
      <c r="AK28" s="27"/>
      <c r="AL28" s="27"/>
      <c r="AM28" s="27"/>
      <c r="AN28" s="144">
        <v>10000</v>
      </c>
      <c r="AO28" s="144"/>
      <c r="AP28" s="144"/>
      <c r="AQ28" s="144"/>
      <c r="AR28" s="148"/>
      <c r="AS28" s="152"/>
      <c r="AT28" s="152"/>
      <c r="AU28" s="152"/>
      <c r="AW28" s="116">
        <v>4</v>
      </c>
      <c r="AX28" s="117"/>
      <c r="AY28" s="117" t="s">
        <v>53</v>
      </c>
      <c r="AZ28" s="117"/>
      <c r="BA28" s="117"/>
      <c r="BB28" s="117"/>
      <c r="BC28" s="117"/>
      <c r="BD28" s="34"/>
      <c r="BE28" s="34"/>
      <c r="BF28" s="34"/>
      <c r="BG28" s="34"/>
      <c r="BH28" s="34"/>
      <c r="BI28" s="34"/>
      <c r="BJ28" s="34"/>
      <c r="BK28" s="34"/>
      <c r="BL28" s="162">
        <v>12800</v>
      </c>
      <c r="BM28" s="162"/>
      <c r="BN28" s="162"/>
      <c r="BO28" s="165"/>
      <c r="BP28" s="152"/>
      <c r="BQ28" s="152"/>
      <c r="BR28" s="152"/>
    </row>
    <row r="29" ht="16.5" customHeight="1" spans="4:70">
      <c r="D29" s="32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98"/>
      <c r="Z29" s="116"/>
      <c r="AA29" s="117"/>
      <c r="AB29" s="117"/>
      <c r="AC29" s="117"/>
      <c r="AD29" s="117"/>
      <c r="AE29" s="117"/>
      <c r="AF29" s="117"/>
      <c r="AG29" s="27"/>
      <c r="AH29" s="27"/>
      <c r="AI29" s="27"/>
      <c r="AJ29" s="27"/>
      <c r="AK29" s="27"/>
      <c r="AL29" s="27"/>
      <c r="AM29" s="27"/>
      <c r="AN29" s="144"/>
      <c r="AO29" s="144"/>
      <c r="AP29" s="144"/>
      <c r="AQ29" s="144"/>
      <c r="AR29" s="148"/>
      <c r="AS29" s="152"/>
      <c r="AT29" s="152"/>
      <c r="AU29" s="152"/>
      <c r="AW29" s="116"/>
      <c r="AX29" s="117"/>
      <c r="AY29" s="117"/>
      <c r="AZ29" s="117"/>
      <c r="BA29" s="117"/>
      <c r="BB29" s="117"/>
      <c r="BC29" s="117"/>
      <c r="BD29" s="34"/>
      <c r="BE29" s="34"/>
      <c r="BF29" s="34"/>
      <c r="BG29" s="34"/>
      <c r="BH29" s="34"/>
      <c r="BI29" s="34"/>
      <c r="BJ29" s="34"/>
      <c r="BK29" s="34"/>
      <c r="BL29" s="162"/>
      <c r="BM29" s="162"/>
      <c r="BN29" s="162"/>
      <c r="BO29" s="148" t="s">
        <v>36</v>
      </c>
      <c r="BP29" s="152"/>
      <c r="BQ29" s="152"/>
      <c r="BR29" s="152"/>
    </row>
    <row r="30" ht="16.5" customHeight="1" spans="4:70">
      <c r="D30" s="32"/>
      <c r="E30" s="51"/>
      <c r="F30" s="51"/>
      <c r="G30" s="51"/>
      <c r="H30" s="51"/>
      <c r="I30" s="51"/>
      <c r="J30" s="51"/>
      <c r="K30" s="76"/>
      <c r="L30" s="77"/>
      <c r="M30" s="77"/>
      <c r="N30" s="77"/>
      <c r="O30" s="77"/>
      <c r="P30" s="77"/>
      <c r="Q30" s="77"/>
      <c r="R30" s="77"/>
      <c r="S30" s="77"/>
      <c r="T30" s="77"/>
      <c r="U30" s="46"/>
      <c r="V30" s="98"/>
      <c r="Z30" s="119"/>
      <c r="AA30" s="120"/>
      <c r="AB30" s="120"/>
      <c r="AC30" s="120"/>
      <c r="AD30" s="120"/>
      <c r="AE30" s="120"/>
      <c r="AF30" s="120"/>
      <c r="AG30" s="58"/>
      <c r="AH30" s="139" t="s">
        <v>51</v>
      </c>
      <c r="AI30" s="139"/>
      <c r="AJ30" s="139"/>
      <c r="AK30" s="58"/>
      <c r="AL30" s="58"/>
      <c r="AM30" s="58"/>
      <c r="AN30" s="58"/>
      <c r="AO30" s="149" t="s">
        <v>38</v>
      </c>
      <c r="AP30" s="149"/>
      <c r="AQ30" s="149"/>
      <c r="AR30" s="150"/>
      <c r="AS30" s="152"/>
      <c r="AT30" s="152"/>
      <c r="AU30" s="152"/>
      <c r="AW30" s="154"/>
      <c r="AX30" s="155"/>
      <c r="AY30" s="155"/>
      <c r="AZ30" s="155"/>
      <c r="BA30" s="155"/>
      <c r="BB30" s="155"/>
      <c r="BC30" s="155"/>
      <c r="BD30" s="157" t="s">
        <v>54</v>
      </c>
      <c r="BE30" s="157"/>
      <c r="BF30" s="157"/>
      <c r="BG30" s="157"/>
      <c r="BH30" s="157"/>
      <c r="BI30" s="159"/>
      <c r="BJ30" s="159"/>
      <c r="BK30" s="159"/>
      <c r="BL30" s="163" t="s">
        <v>40</v>
      </c>
      <c r="BM30" s="163"/>
      <c r="BN30" s="159"/>
      <c r="BO30" s="166"/>
      <c r="BP30" s="152"/>
      <c r="BQ30" s="152"/>
      <c r="BR30" s="152"/>
    </row>
    <row r="31" ht="16.5" customHeight="1" spans="4:70">
      <c r="D31" s="32"/>
      <c r="E31" s="52"/>
      <c r="F31" s="52"/>
      <c r="G31" s="53"/>
      <c r="H31" s="53"/>
      <c r="I31" s="52"/>
      <c r="J31" s="52"/>
      <c r="K31" s="78"/>
      <c r="L31" s="34"/>
      <c r="M31" s="34"/>
      <c r="N31" s="34"/>
      <c r="O31" s="34"/>
      <c r="P31" s="34"/>
      <c r="Q31" s="34"/>
      <c r="R31" s="34"/>
      <c r="S31" s="34"/>
      <c r="T31" s="34"/>
      <c r="U31" s="46"/>
      <c r="V31" s="98"/>
      <c r="Z31" s="116">
        <v>5</v>
      </c>
      <c r="AA31" s="117"/>
      <c r="AB31" s="117" t="s">
        <v>55</v>
      </c>
      <c r="AC31" s="117"/>
      <c r="AD31" s="117"/>
      <c r="AE31" s="117"/>
      <c r="AF31" s="117"/>
      <c r="AG31" s="27"/>
      <c r="AH31" s="27"/>
      <c r="AI31" s="27"/>
      <c r="AJ31" s="27"/>
      <c r="AK31" s="27"/>
      <c r="AL31" s="27"/>
      <c r="AM31" s="27"/>
      <c r="AN31" s="144">
        <v>10000</v>
      </c>
      <c r="AO31" s="144"/>
      <c r="AP31" s="144"/>
      <c r="AQ31" s="144"/>
      <c r="AR31" s="148"/>
      <c r="AS31" s="152"/>
      <c r="AT31" s="152"/>
      <c r="AU31" s="152"/>
      <c r="AW31" s="116">
        <v>5</v>
      </c>
      <c r="AX31" s="117"/>
      <c r="AY31" s="117" t="s">
        <v>56</v>
      </c>
      <c r="AZ31" s="117"/>
      <c r="BA31" s="117"/>
      <c r="BB31" s="117"/>
      <c r="BC31" s="117"/>
      <c r="BD31" s="34"/>
      <c r="BE31" s="34"/>
      <c r="BF31" s="34"/>
      <c r="BG31" s="34"/>
      <c r="BH31" s="34"/>
      <c r="BI31" s="34"/>
      <c r="BJ31" s="34"/>
      <c r="BK31" s="34"/>
      <c r="BL31" s="162">
        <v>11300</v>
      </c>
      <c r="BM31" s="162"/>
      <c r="BN31" s="162"/>
      <c r="BO31" s="165"/>
      <c r="BP31" s="152"/>
      <c r="BQ31" s="152"/>
      <c r="BR31" s="152"/>
    </row>
    <row r="32" ht="16.5" customHeight="1" spans="4:70">
      <c r="D32" s="32"/>
      <c r="E32" s="54" t="s">
        <v>57</v>
      </c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46"/>
      <c r="V32" s="98"/>
      <c r="Z32" s="116"/>
      <c r="AA32" s="117"/>
      <c r="AB32" s="117"/>
      <c r="AC32" s="117"/>
      <c r="AD32" s="117"/>
      <c r="AE32" s="117"/>
      <c r="AF32" s="117"/>
      <c r="AG32" s="27"/>
      <c r="AH32" s="27"/>
      <c r="AI32" s="27"/>
      <c r="AJ32" s="27"/>
      <c r="AK32" s="27"/>
      <c r="AL32" s="27"/>
      <c r="AM32" s="27"/>
      <c r="AN32" s="144"/>
      <c r="AO32" s="144"/>
      <c r="AP32" s="144"/>
      <c r="AQ32" s="144"/>
      <c r="AR32" s="148"/>
      <c r="AS32" s="152"/>
      <c r="AT32" s="152"/>
      <c r="AU32" s="152"/>
      <c r="AW32" s="116"/>
      <c r="AX32" s="117"/>
      <c r="AY32" s="117"/>
      <c r="AZ32" s="117"/>
      <c r="BA32" s="117"/>
      <c r="BB32" s="117"/>
      <c r="BC32" s="117"/>
      <c r="BD32" s="34"/>
      <c r="BE32" s="34"/>
      <c r="BF32" s="34"/>
      <c r="BG32" s="34"/>
      <c r="BH32" s="34"/>
      <c r="BI32" s="34"/>
      <c r="BJ32" s="34"/>
      <c r="BK32" s="34"/>
      <c r="BL32" s="162"/>
      <c r="BM32" s="162"/>
      <c r="BN32" s="162"/>
      <c r="BO32" s="148" t="s">
        <v>36</v>
      </c>
      <c r="BP32" s="152"/>
      <c r="BQ32" s="152"/>
      <c r="BR32" s="152"/>
    </row>
    <row r="33" ht="16.5" customHeight="1" spans="4:70">
      <c r="D33" s="32"/>
      <c r="E33" s="55" t="s">
        <v>58</v>
      </c>
      <c r="F33" s="56"/>
      <c r="G33" s="56"/>
      <c r="H33" s="56">
        <v>12000</v>
      </c>
      <c r="I33" s="56"/>
      <c r="J33" s="56"/>
      <c r="K33" s="55" t="s">
        <v>59</v>
      </c>
      <c r="L33" s="56"/>
      <c r="M33" s="56"/>
      <c r="N33" s="56">
        <v>4000</v>
      </c>
      <c r="O33" s="56"/>
      <c r="P33" s="55" t="s">
        <v>60</v>
      </c>
      <c r="Q33" s="56"/>
      <c r="R33" s="56"/>
      <c r="S33" s="89">
        <f>N33/H33</f>
        <v>0.333333333333333</v>
      </c>
      <c r="T33" s="90"/>
      <c r="U33" s="46"/>
      <c r="V33" s="98"/>
      <c r="Z33" s="119"/>
      <c r="AA33" s="120"/>
      <c r="AB33" s="120"/>
      <c r="AC33" s="120"/>
      <c r="AD33" s="120"/>
      <c r="AE33" s="120"/>
      <c r="AF33" s="120"/>
      <c r="AG33" s="58"/>
      <c r="AH33" s="139" t="s">
        <v>61</v>
      </c>
      <c r="AI33" s="139"/>
      <c r="AJ33" s="139"/>
      <c r="AK33" s="58"/>
      <c r="AL33" s="58"/>
      <c r="AM33" s="58"/>
      <c r="AN33" s="58"/>
      <c r="AO33" s="149" t="s">
        <v>38</v>
      </c>
      <c r="AP33" s="149"/>
      <c r="AQ33" s="149"/>
      <c r="AR33" s="150"/>
      <c r="AS33" s="152"/>
      <c r="AT33" s="152"/>
      <c r="AU33" s="152"/>
      <c r="AW33" s="154"/>
      <c r="AX33" s="155"/>
      <c r="AY33" s="155"/>
      <c r="AZ33" s="155"/>
      <c r="BA33" s="155"/>
      <c r="BB33" s="155"/>
      <c r="BC33" s="155"/>
      <c r="BD33" s="156" t="s">
        <v>62</v>
      </c>
      <c r="BE33" s="156"/>
      <c r="BF33" s="156"/>
      <c r="BG33" s="156"/>
      <c r="BH33" s="159"/>
      <c r="BI33" s="159"/>
      <c r="BJ33" s="159"/>
      <c r="BK33" s="159"/>
      <c r="BL33" s="163" t="s">
        <v>40</v>
      </c>
      <c r="BM33" s="163"/>
      <c r="BN33" s="159"/>
      <c r="BO33" s="166"/>
      <c r="BP33" s="152"/>
      <c r="BQ33" s="152"/>
      <c r="BR33" s="152"/>
    </row>
    <row r="34" ht="16.5" customHeight="1" spans="4:70">
      <c r="D34" s="32"/>
      <c r="E34" s="57"/>
      <c r="F34" s="58"/>
      <c r="G34" s="58"/>
      <c r="H34" s="58"/>
      <c r="I34" s="58"/>
      <c r="J34" s="58"/>
      <c r="K34" s="57"/>
      <c r="L34" s="58"/>
      <c r="M34" s="58"/>
      <c r="N34" s="58"/>
      <c r="O34" s="58"/>
      <c r="P34" s="57"/>
      <c r="Q34" s="58"/>
      <c r="R34" s="58"/>
      <c r="S34" s="91"/>
      <c r="T34" s="92"/>
      <c r="U34" s="46"/>
      <c r="V34" s="98"/>
      <c r="Z34" s="116">
        <v>6</v>
      </c>
      <c r="AA34" s="117"/>
      <c r="AB34" s="117" t="s">
        <v>63</v>
      </c>
      <c r="AC34" s="117"/>
      <c r="AD34" s="117"/>
      <c r="AE34" s="117"/>
      <c r="AF34" s="117"/>
      <c r="AG34" s="27"/>
      <c r="AH34" s="27"/>
      <c r="AI34" s="27"/>
      <c r="AJ34" s="27"/>
      <c r="AK34" s="27"/>
      <c r="AL34" s="27"/>
      <c r="AM34" s="27"/>
      <c r="AN34" s="144">
        <v>10000</v>
      </c>
      <c r="AO34" s="144"/>
      <c r="AP34" s="144"/>
      <c r="AQ34" s="144"/>
      <c r="AR34" s="148"/>
      <c r="AS34" s="152"/>
      <c r="AT34" s="152"/>
      <c r="AU34" s="152"/>
      <c r="AW34" s="116">
        <v>6</v>
      </c>
      <c r="AX34" s="117"/>
      <c r="AY34" s="117" t="s">
        <v>64</v>
      </c>
      <c r="AZ34" s="117"/>
      <c r="BA34" s="117"/>
      <c r="BB34" s="117"/>
      <c r="BC34" s="117"/>
      <c r="BD34" s="34"/>
      <c r="BE34" s="34"/>
      <c r="BF34" s="34"/>
      <c r="BG34" s="34"/>
      <c r="BH34" s="34"/>
      <c r="BI34" s="34"/>
      <c r="BJ34" s="34"/>
      <c r="BK34" s="34"/>
      <c r="BL34" s="162">
        <v>10200</v>
      </c>
      <c r="BM34" s="162"/>
      <c r="BN34" s="162"/>
      <c r="BO34" s="165"/>
      <c r="BP34" s="152"/>
      <c r="BQ34" s="152"/>
      <c r="BR34" s="152"/>
    </row>
    <row r="35" ht="16.5" customHeight="1" spans="4:70">
      <c r="D35" s="32"/>
      <c r="E35" s="27"/>
      <c r="H35" s="34"/>
      <c r="I35" s="34"/>
      <c r="J35" s="34"/>
      <c r="K35" s="34"/>
      <c r="L35" s="34"/>
      <c r="U35" s="46"/>
      <c r="V35" s="98"/>
      <c r="Z35" s="116"/>
      <c r="AA35" s="117"/>
      <c r="AB35" s="117"/>
      <c r="AC35" s="117"/>
      <c r="AD35" s="117"/>
      <c r="AE35" s="117"/>
      <c r="AF35" s="117"/>
      <c r="AG35" s="27"/>
      <c r="AH35" s="27"/>
      <c r="AI35" s="27"/>
      <c r="AJ35" s="27"/>
      <c r="AK35" s="27"/>
      <c r="AL35" s="27"/>
      <c r="AM35" s="27"/>
      <c r="AN35" s="144"/>
      <c r="AO35" s="144"/>
      <c r="AP35" s="144"/>
      <c r="AQ35" s="144"/>
      <c r="AR35" s="148"/>
      <c r="AS35" s="152"/>
      <c r="AT35" s="152"/>
      <c r="AU35" s="152"/>
      <c r="AW35" s="116"/>
      <c r="AX35" s="117"/>
      <c r="AY35" s="117"/>
      <c r="AZ35" s="117"/>
      <c r="BA35" s="117"/>
      <c r="BB35" s="117"/>
      <c r="BC35" s="117"/>
      <c r="BD35" s="34"/>
      <c r="BE35" s="34"/>
      <c r="BF35" s="34"/>
      <c r="BG35" s="34"/>
      <c r="BH35" s="34"/>
      <c r="BI35" s="34"/>
      <c r="BJ35" s="34"/>
      <c r="BK35" s="34"/>
      <c r="BL35" s="162"/>
      <c r="BM35" s="162"/>
      <c r="BN35" s="162"/>
      <c r="BO35" s="148" t="s">
        <v>36</v>
      </c>
      <c r="BP35" s="152"/>
      <c r="BQ35" s="152"/>
      <c r="BR35" s="152"/>
    </row>
    <row r="36" ht="16.5" customHeight="1" spans="4:70">
      <c r="D36" s="32"/>
      <c r="E36" s="59" t="s">
        <v>65</v>
      </c>
      <c r="F36" s="59"/>
      <c r="G36" s="59"/>
      <c r="H36" s="59"/>
      <c r="I36" s="79">
        <v>40</v>
      </c>
      <c r="J36" s="79"/>
      <c r="K36" s="79"/>
      <c r="L36" s="34"/>
      <c r="M36" s="84" t="s">
        <v>66</v>
      </c>
      <c r="N36" s="84"/>
      <c r="O36" s="84"/>
      <c r="P36" s="84"/>
      <c r="Q36" s="93">
        <v>600</v>
      </c>
      <c r="R36" s="93"/>
      <c r="S36" s="93"/>
      <c r="T36" s="93"/>
      <c r="U36" s="46"/>
      <c r="V36" s="98"/>
      <c r="Z36" s="119"/>
      <c r="AA36" s="120"/>
      <c r="AB36" s="120"/>
      <c r="AC36" s="120"/>
      <c r="AD36" s="120"/>
      <c r="AE36" s="120"/>
      <c r="AF36" s="120"/>
      <c r="AG36" s="58"/>
      <c r="AH36" s="139" t="s">
        <v>61</v>
      </c>
      <c r="AI36" s="139"/>
      <c r="AJ36" s="139"/>
      <c r="AK36" s="58"/>
      <c r="AL36" s="58"/>
      <c r="AM36" s="58"/>
      <c r="AN36" s="58"/>
      <c r="AO36" s="149" t="s">
        <v>38</v>
      </c>
      <c r="AP36" s="149"/>
      <c r="AQ36" s="149"/>
      <c r="AR36" s="150"/>
      <c r="AS36" s="152"/>
      <c r="AT36" s="152"/>
      <c r="AU36" s="152"/>
      <c r="AW36" s="154"/>
      <c r="AX36" s="155"/>
      <c r="AY36" s="155"/>
      <c r="AZ36" s="155"/>
      <c r="BA36" s="155"/>
      <c r="BB36" s="155"/>
      <c r="BC36" s="155"/>
      <c r="BD36" s="156" t="s">
        <v>67</v>
      </c>
      <c r="BE36" s="156"/>
      <c r="BF36" s="156"/>
      <c r="BG36" s="156"/>
      <c r="BH36" s="159"/>
      <c r="BI36" s="159"/>
      <c r="BJ36" s="159"/>
      <c r="BK36" s="159"/>
      <c r="BL36" s="163" t="s">
        <v>40</v>
      </c>
      <c r="BM36" s="163"/>
      <c r="BN36" s="159"/>
      <c r="BO36" s="166"/>
      <c r="BP36" s="152"/>
      <c r="BQ36" s="152"/>
      <c r="BR36" s="152"/>
    </row>
    <row r="37" ht="20.4" spans="4:67">
      <c r="D37" s="32"/>
      <c r="E37" s="59" t="s">
        <v>68</v>
      </c>
      <c r="F37" s="59"/>
      <c r="G37" s="59"/>
      <c r="H37" s="59"/>
      <c r="I37" s="79">
        <f>H33/I36</f>
        <v>300</v>
      </c>
      <c r="J37" s="79"/>
      <c r="K37" s="79"/>
      <c r="L37" s="46"/>
      <c r="M37" s="84" t="s">
        <v>69</v>
      </c>
      <c r="N37" s="84"/>
      <c r="O37" s="84"/>
      <c r="P37" s="84"/>
      <c r="Q37" s="93">
        <f>H33/Q36</f>
        <v>20</v>
      </c>
      <c r="R37" s="93"/>
      <c r="S37" s="93"/>
      <c r="T37" s="93"/>
      <c r="U37" s="46"/>
      <c r="V37" s="97"/>
      <c r="Z37" s="32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51"/>
      <c r="AP37" s="151"/>
      <c r="AQ37" s="87"/>
      <c r="AR37" s="98"/>
      <c r="AW37" s="32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51"/>
      <c r="BM37" s="151"/>
      <c r="BN37" s="87"/>
      <c r="BO37" s="98"/>
    </row>
    <row r="38" ht="20.4" spans="4:67">
      <c r="D38" s="32"/>
      <c r="E38" s="59" t="s">
        <v>70</v>
      </c>
      <c r="F38" s="59"/>
      <c r="G38" s="59"/>
      <c r="H38" s="59"/>
      <c r="I38" s="79">
        <f>N33/I36</f>
        <v>100</v>
      </c>
      <c r="J38" s="79"/>
      <c r="K38" s="79"/>
      <c r="L38" s="78"/>
      <c r="M38" s="84" t="s">
        <v>69</v>
      </c>
      <c r="N38" s="84"/>
      <c r="O38" s="84"/>
      <c r="P38" s="84"/>
      <c r="Q38" s="93">
        <f>N33/Q36</f>
        <v>6.66666666666667</v>
      </c>
      <c r="R38" s="93"/>
      <c r="S38" s="93"/>
      <c r="T38" s="93"/>
      <c r="U38" s="46"/>
      <c r="V38" s="97"/>
      <c r="Z38" s="32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97"/>
      <c r="AW38" s="32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97"/>
    </row>
    <row r="39" ht="20.4" spans="4:67">
      <c r="D39" s="32"/>
      <c r="E39" s="60"/>
      <c r="F39" s="60"/>
      <c r="G39" s="60"/>
      <c r="H39" s="60"/>
      <c r="I39" s="80"/>
      <c r="J39" s="80"/>
      <c r="K39" s="52"/>
      <c r="L39" s="78"/>
      <c r="M39" s="60"/>
      <c r="N39" s="60"/>
      <c r="O39" s="60"/>
      <c r="P39" s="60"/>
      <c r="Q39" s="80"/>
      <c r="R39" s="80"/>
      <c r="S39" s="52"/>
      <c r="T39" s="46"/>
      <c r="U39" s="46"/>
      <c r="V39" s="97"/>
      <c r="Z39" s="32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97"/>
      <c r="AW39" s="32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97"/>
    </row>
    <row r="40" spans="4:67">
      <c r="D40" s="32"/>
      <c r="E40" s="51"/>
      <c r="F40" s="51"/>
      <c r="G40" s="51"/>
      <c r="H40" s="51"/>
      <c r="I40" s="51"/>
      <c r="J40" s="51"/>
      <c r="K40" s="76"/>
      <c r="L40" s="77"/>
      <c r="M40" s="77"/>
      <c r="N40" s="77"/>
      <c r="O40" s="77"/>
      <c r="P40" s="77"/>
      <c r="Q40" s="77"/>
      <c r="R40" s="77"/>
      <c r="S40" s="77"/>
      <c r="T40" s="77"/>
      <c r="U40" s="46"/>
      <c r="V40" s="97"/>
      <c r="Z40" s="32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97"/>
      <c r="AW40" s="32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97"/>
    </row>
    <row r="41" spans="4:67">
      <c r="D41" s="32"/>
      <c r="E41" s="52"/>
      <c r="F41" s="52"/>
      <c r="G41" s="53"/>
      <c r="H41" s="53"/>
      <c r="I41" s="52"/>
      <c r="J41" s="52"/>
      <c r="K41" s="78"/>
      <c r="L41" s="34"/>
      <c r="M41" s="34"/>
      <c r="N41" s="34"/>
      <c r="O41" s="34"/>
      <c r="P41" s="34"/>
      <c r="Q41" s="34"/>
      <c r="R41" s="34"/>
      <c r="S41" s="34"/>
      <c r="T41" s="34"/>
      <c r="U41" s="46"/>
      <c r="V41" s="97"/>
      <c r="Z41" s="32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97"/>
      <c r="AW41" s="32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97"/>
    </row>
    <row r="42" ht="20.4" spans="4:67">
      <c r="D42" s="32"/>
      <c r="E42" s="54" t="s">
        <v>71</v>
      </c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46"/>
      <c r="V42" s="97"/>
      <c r="Z42" s="32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97"/>
      <c r="AW42" s="32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97"/>
    </row>
    <row r="43" spans="4:67">
      <c r="D43" s="32"/>
      <c r="E43" s="61" t="s">
        <v>72</v>
      </c>
      <c r="F43" s="62"/>
      <c r="G43" s="62"/>
      <c r="H43" s="62"/>
      <c r="I43" s="62"/>
      <c r="J43" s="62"/>
      <c r="K43" s="62"/>
      <c r="L43" s="62">
        <v>8000</v>
      </c>
      <c r="M43" s="62"/>
      <c r="N43" s="62"/>
      <c r="O43" s="62"/>
      <c r="P43" s="62"/>
      <c r="Q43" s="62"/>
      <c r="R43" s="62"/>
      <c r="S43" s="62"/>
      <c r="T43" s="94"/>
      <c r="U43" s="46"/>
      <c r="V43" s="97"/>
      <c r="Z43" s="32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97"/>
      <c r="AW43" s="32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97"/>
    </row>
    <row r="44" spans="4:67">
      <c r="D44" s="32"/>
      <c r="E44" s="63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95"/>
      <c r="U44" s="46"/>
      <c r="V44" s="97"/>
      <c r="Z44" s="32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97"/>
      <c r="AW44" s="32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97"/>
    </row>
    <row r="45" spans="4:67">
      <c r="D45" s="32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97"/>
      <c r="Z45" s="32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97"/>
      <c r="AW45" s="32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97"/>
    </row>
    <row r="46" spans="4:67">
      <c r="D46" s="32"/>
      <c r="E46" s="46"/>
      <c r="F46" s="43" t="s">
        <v>73</v>
      </c>
      <c r="G46" s="38"/>
      <c r="H46" s="44"/>
      <c r="I46" s="46"/>
      <c r="J46" s="43" t="s">
        <v>74</v>
      </c>
      <c r="K46" s="38"/>
      <c r="L46" s="44"/>
      <c r="M46" s="46"/>
      <c r="N46" s="43" t="s">
        <v>75</v>
      </c>
      <c r="O46" s="38"/>
      <c r="P46" s="44"/>
      <c r="Q46" s="46"/>
      <c r="R46" s="43" t="s">
        <v>76</v>
      </c>
      <c r="S46" s="38"/>
      <c r="T46" s="44"/>
      <c r="U46" s="46"/>
      <c r="V46" s="97"/>
      <c r="Z46" s="32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97"/>
      <c r="AW46" s="32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97"/>
    </row>
    <row r="47" spans="4:67">
      <c r="D47" s="32"/>
      <c r="E47" s="46"/>
      <c r="F47" s="45"/>
      <c r="G47" s="46"/>
      <c r="H47" s="47"/>
      <c r="I47" s="46"/>
      <c r="J47" s="45"/>
      <c r="K47" s="46"/>
      <c r="L47" s="47"/>
      <c r="M47" s="46"/>
      <c r="N47" s="45"/>
      <c r="O47" s="46"/>
      <c r="P47" s="47"/>
      <c r="Q47" s="46"/>
      <c r="R47" s="45"/>
      <c r="S47" s="46"/>
      <c r="T47" s="47"/>
      <c r="U47" s="46"/>
      <c r="V47" s="97"/>
      <c r="Z47" s="32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97"/>
      <c r="AW47" s="32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7"/>
      <c r="BI47" s="87"/>
      <c r="BJ47" s="87"/>
      <c r="BK47" s="87"/>
      <c r="BL47" s="87"/>
      <c r="BM47" s="87"/>
      <c r="BN47" s="87"/>
      <c r="BO47" s="97"/>
    </row>
    <row r="48" spans="4:67">
      <c r="D48" s="32"/>
      <c r="E48" s="46"/>
      <c r="F48" s="45" t="s">
        <v>77</v>
      </c>
      <c r="G48" s="46"/>
      <c r="H48" s="47"/>
      <c r="I48" s="46"/>
      <c r="J48" s="45" t="s">
        <v>77</v>
      </c>
      <c r="K48" s="46"/>
      <c r="L48" s="47"/>
      <c r="M48" s="46"/>
      <c r="N48" s="45" t="s">
        <v>77</v>
      </c>
      <c r="O48" s="46"/>
      <c r="P48" s="47"/>
      <c r="Q48" s="46"/>
      <c r="R48" s="45" t="s">
        <v>77</v>
      </c>
      <c r="S48" s="46"/>
      <c r="T48" s="47"/>
      <c r="U48" s="46"/>
      <c r="V48" s="97"/>
      <c r="Z48" s="32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97"/>
      <c r="AW48" s="32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7"/>
      <c r="BI48" s="87"/>
      <c r="BJ48" s="87"/>
      <c r="BK48" s="87"/>
      <c r="BL48" s="87"/>
      <c r="BM48" s="87"/>
      <c r="BN48" s="87"/>
      <c r="BO48" s="97"/>
    </row>
    <row r="49" spans="4:67">
      <c r="D49" s="32"/>
      <c r="E49" s="46"/>
      <c r="F49" s="45"/>
      <c r="G49" s="46"/>
      <c r="H49" s="47"/>
      <c r="I49" s="46"/>
      <c r="J49" s="45"/>
      <c r="K49" s="46"/>
      <c r="L49" s="47"/>
      <c r="M49" s="46"/>
      <c r="N49" s="45"/>
      <c r="O49" s="46"/>
      <c r="P49" s="47"/>
      <c r="Q49" s="46"/>
      <c r="R49" s="45"/>
      <c r="S49" s="46"/>
      <c r="T49" s="47"/>
      <c r="U49" s="46"/>
      <c r="V49" s="97"/>
      <c r="Z49" s="29"/>
      <c r="AA49" s="52"/>
      <c r="AB49" s="52"/>
      <c r="AC49" s="53"/>
      <c r="AD49" s="53"/>
      <c r="AE49" s="52"/>
      <c r="AF49" s="52"/>
      <c r="AG49" s="78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97"/>
      <c r="AW49" s="29"/>
      <c r="AX49" s="52"/>
      <c r="AY49" s="52"/>
      <c r="AZ49" s="53"/>
      <c r="BA49" s="53"/>
      <c r="BB49" s="52"/>
      <c r="BC49" s="52"/>
      <c r="BD49" s="78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97"/>
    </row>
    <row r="50" spans="4:67">
      <c r="D50" s="32"/>
      <c r="E50" s="46"/>
      <c r="F50" s="48" t="s">
        <v>78</v>
      </c>
      <c r="G50" s="49"/>
      <c r="H50" s="50"/>
      <c r="I50" s="46"/>
      <c r="J50" s="48" t="s">
        <v>78</v>
      </c>
      <c r="K50" s="49"/>
      <c r="L50" s="50"/>
      <c r="M50" s="46"/>
      <c r="N50" s="48" t="s">
        <v>78</v>
      </c>
      <c r="O50" s="49"/>
      <c r="P50" s="50"/>
      <c r="Q50" s="46"/>
      <c r="R50" s="48" t="s">
        <v>78</v>
      </c>
      <c r="S50" s="49"/>
      <c r="T50" s="50"/>
      <c r="U50" s="46"/>
      <c r="V50" s="97"/>
      <c r="Z50" s="122" t="s">
        <v>79</v>
      </c>
      <c r="AA50" s="123"/>
      <c r="AB50" s="123"/>
      <c r="AC50" s="123"/>
      <c r="AD50" s="134"/>
      <c r="AE50" s="135" t="s">
        <v>80</v>
      </c>
      <c r="AF50" s="135"/>
      <c r="AG50" s="135"/>
      <c r="AH50" s="135"/>
      <c r="AI50" s="140"/>
      <c r="AJ50" s="123" t="s">
        <v>81</v>
      </c>
      <c r="AK50" s="123"/>
      <c r="AL50" s="123"/>
      <c r="AM50" s="123"/>
      <c r="AN50" s="134"/>
      <c r="AO50" s="123" t="s">
        <v>82</v>
      </c>
      <c r="AP50" s="123"/>
      <c r="AQ50" s="123"/>
      <c r="AR50" s="134"/>
      <c r="AW50" s="122" t="s">
        <v>79</v>
      </c>
      <c r="AX50" s="123"/>
      <c r="AY50" s="123"/>
      <c r="AZ50" s="123"/>
      <c r="BA50" s="134"/>
      <c r="BB50" s="123" t="s">
        <v>80</v>
      </c>
      <c r="BC50" s="123"/>
      <c r="BD50" s="123"/>
      <c r="BE50" s="123"/>
      <c r="BF50" s="134"/>
      <c r="BG50" s="135" t="s">
        <v>81</v>
      </c>
      <c r="BH50" s="135"/>
      <c r="BI50" s="135"/>
      <c r="BJ50" s="135"/>
      <c r="BK50" s="140"/>
      <c r="BL50" s="123" t="s">
        <v>82</v>
      </c>
      <c r="BM50" s="123"/>
      <c r="BN50" s="123"/>
      <c r="BO50" s="134"/>
    </row>
    <row r="51" ht="17.55" spans="4:67">
      <c r="D51" s="32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97"/>
      <c r="Z51" s="124"/>
      <c r="AA51" s="125"/>
      <c r="AB51" s="125"/>
      <c r="AC51" s="125"/>
      <c r="AD51" s="136"/>
      <c r="AE51" s="137"/>
      <c r="AF51" s="137"/>
      <c r="AG51" s="137"/>
      <c r="AH51" s="137"/>
      <c r="AI51" s="141"/>
      <c r="AJ51" s="125"/>
      <c r="AK51" s="125"/>
      <c r="AL51" s="125"/>
      <c r="AM51" s="125"/>
      <c r="AN51" s="136"/>
      <c r="AO51" s="125"/>
      <c r="AP51" s="125"/>
      <c r="AQ51" s="125"/>
      <c r="AR51" s="136"/>
      <c r="AW51" s="124"/>
      <c r="AX51" s="125"/>
      <c r="AY51" s="125"/>
      <c r="AZ51" s="125"/>
      <c r="BA51" s="136"/>
      <c r="BB51" s="125"/>
      <c r="BC51" s="125"/>
      <c r="BD51" s="125"/>
      <c r="BE51" s="125"/>
      <c r="BF51" s="136"/>
      <c r="BG51" s="137"/>
      <c r="BH51" s="137"/>
      <c r="BI51" s="137"/>
      <c r="BJ51" s="137"/>
      <c r="BK51" s="141"/>
      <c r="BL51" s="125"/>
      <c r="BM51" s="125"/>
      <c r="BN51" s="125"/>
      <c r="BO51" s="136"/>
    </row>
    <row r="52" spans="4:22">
      <c r="D52" s="32"/>
      <c r="E52" s="46"/>
      <c r="F52" s="43" t="s">
        <v>83</v>
      </c>
      <c r="G52" s="38"/>
      <c r="H52" s="44"/>
      <c r="I52" s="46"/>
      <c r="J52" s="43" t="s">
        <v>84</v>
      </c>
      <c r="K52" s="38"/>
      <c r="L52" s="44"/>
      <c r="M52" s="46"/>
      <c r="N52" s="43" t="s">
        <v>85</v>
      </c>
      <c r="O52" s="38"/>
      <c r="P52" s="44"/>
      <c r="Q52" s="46"/>
      <c r="R52" s="43" t="s">
        <v>86</v>
      </c>
      <c r="S52" s="38"/>
      <c r="T52" s="44"/>
      <c r="U52" s="46"/>
      <c r="V52" s="97"/>
    </row>
    <row r="53" spans="4:22">
      <c r="D53" s="32"/>
      <c r="E53" s="46"/>
      <c r="F53" s="45"/>
      <c r="G53" s="46"/>
      <c r="H53" s="47"/>
      <c r="I53" s="46"/>
      <c r="J53" s="45"/>
      <c r="K53" s="46"/>
      <c r="L53" s="47"/>
      <c r="M53" s="46"/>
      <c r="N53" s="45"/>
      <c r="O53" s="46"/>
      <c r="P53" s="47"/>
      <c r="Q53" s="46"/>
      <c r="R53" s="45"/>
      <c r="S53" s="46"/>
      <c r="T53" s="47"/>
      <c r="U53" s="46"/>
      <c r="V53" s="97"/>
    </row>
    <row r="54" spans="4:22">
      <c r="D54" s="32"/>
      <c r="E54" s="46"/>
      <c r="F54" s="45" t="s">
        <v>77</v>
      </c>
      <c r="G54" s="46"/>
      <c r="H54" s="47"/>
      <c r="I54" s="46"/>
      <c r="J54" s="45" t="s">
        <v>77</v>
      </c>
      <c r="K54" s="46"/>
      <c r="L54" s="47"/>
      <c r="M54" s="46"/>
      <c r="N54" s="45" t="s">
        <v>77</v>
      </c>
      <c r="O54" s="46"/>
      <c r="P54" s="47"/>
      <c r="Q54" s="46"/>
      <c r="R54" s="45" t="s">
        <v>77</v>
      </c>
      <c r="S54" s="46"/>
      <c r="T54" s="47"/>
      <c r="U54" s="46"/>
      <c r="V54" s="97"/>
    </row>
    <row r="55" spans="4:22">
      <c r="D55" s="32"/>
      <c r="E55" s="46"/>
      <c r="F55" s="45"/>
      <c r="G55" s="46"/>
      <c r="H55" s="47"/>
      <c r="I55" s="46"/>
      <c r="J55" s="45"/>
      <c r="K55" s="46"/>
      <c r="L55" s="47"/>
      <c r="M55" s="46"/>
      <c r="N55" s="45"/>
      <c r="O55" s="46"/>
      <c r="P55" s="47"/>
      <c r="Q55" s="46"/>
      <c r="R55" s="45"/>
      <c r="S55" s="46"/>
      <c r="T55" s="47"/>
      <c r="U55" s="46"/>
      <c r="V55" s="97"/>
    </row>
    <row r="56" spans="4:22">
      <c r="D56" s="32"/>
      <c r="E56" s="46"/>
      <c r="F56" s="48" t="s">
        <v>78</v>
      </c>
      <c r="G56" s="49"/>
      <c r="H56" s="50"/>
      <c r="I56" s="46"/>
      <c r="J56" s="48" t="s">
        <v>78</v>
      </c>
      <c r="K56" s="49"/>
      <c r="L56" s="50"/>
      <c r="M56" s="46"/>
      <c r="N56" s="48" t="s">
        <v>78</v>
      </c>
      <c r="O56" s="49"/>
      <c r="P56" s="50"/>
      <c r="Q56" s="46"/>
      <c r="R56" s="48" t="s">
        <v>78</v>
      </c>
      <c r="S56" s="49"/>
      <c r="T56" s="50"/>
      <c r="U56" s="46"/>
      <c r="V56" s="97"/>
    </row>
    <row r="57" spans="4:22">
      <c r="D57" s="32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97"/>
    </row>
    <row r="58" spans="4:22">
      <c r="D58" s="32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97"/>
    </row>
    <row r="59" spans="4:22">
      <c r="D59" s="32"/>
      <c r="E59" s="46"/>
      <c r="F59" s="43" t="s">
        <v>87</v>
      </c>
      <c r="G59" s="38"/>
      <c r="H59" s="38"/>
      <c r="I59" s="38"/>
      <c r="J59" s="38"/>
      <c r="K59" s="38"/>
      <c r="L59" s="44" t="s">
        <v>36</v>
      </c>
      <c r="M59" s="46"/>
      <c r="N59" s="43" t="s">
        <v>88</v>
      </c>
      <c r="O59" s="38"/>
      <c r="P59" s="38"/>
      <c r="Q59" s="38"/>
      <c r="R59" s="38"/>
      <c r="S59" s="38"/>
      <c r="T59" s="44" t="s">
        <v>36</v>
      </c>
      <c r="U59" s="46"/>
      <c r="V59" s="97"/>
    </row>
    <row r="60" spans="4:22">
      <c r="D60" s="32"/>
      <c r="E60" s="46"/>
      <c r="F60" s="65"/>
      <c r="G60" s="42"/>
      <c r="H60" s="42"/>
      <c r="I60" s="42"/>
      <c r="J60" s="42"/>
      <c r="K60" s="42"/>
      <c r="L60" s="81"/>
      <c r="M60" s="46"/>
      <c r="N60" s="65"/>
      <c r="O60" s="42"/>
      <c r="P60" s="42"/>
      <c r="Q60" s="42"/>
      <c r="R60" s="42"/>
      <c r="S60" s="42"/>
      <c r="T60" s="81"/>
      <c r="U60" s="46"/>
      <c r="V60" s="97"/>
    </row>
    <row r="61" spans="4:22">
      <c r="D61" s="32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97"/>
    </row>
    <row r="62" spans="4:22">
      <c r="D62" s="32"/>
      <c r="E62" s="46"/>
      <c r="F62" s="43" t="s">
        <v>89</v>
      </c>
      <c r="G62" s="38"/>
      <c r="H62" s="38"/>
      <c r="I62" s="38"/>
      <c r="J62" s="38"/>
      <c r="K62" s="38"/>
      <c r="L62" s="44" t="s">
        <v>36</v>
      </c>
      <c r="M62" s="46"/>
      <c r="N62" s="43" t="s">
        <v>90</v>
      </c>
      <c r="O62" s="38"/>
      <c r="P62" s="38"/>
      <c r="Q62" s="38"/>
      <c r="R62" s="38"/>
      <c r="S62" s="38"/>
      <c r="T62" s="44" t="s">
        <v>36</v>
      </c>
      <c r="U62" s="46"/>
      <c r="V62" s="97"/>
    </row>
    <row r="63" spans="4:22">
      <c r="D63" s="32"/>
      <c r="E63" s="46"/>
      <c r="F63" s="65"/>
      <c r="G63" s="42"/>
      <c r="H63" s="42"/>
      <c r="I63" s="42"/>
      <c r="J63" s="42"/>
      <c r="K63" s="42"/>
      <c r="L63" s="81"/>
      <c r="M63" s="46"/>
      <c r="N63" s="65"/>
      <c r="O63" s="42"/>
      <c r="P63" s="42"/>
      <c r="Q63" s="42"/>
      <c r="R63" s="42"/>
      <c r="S63" s="42"/>
      <c r="T63" s="81"/>
      <c r="U63" s="46"/>
      <c r="V63" s="97"/>
    </row>
    <row r="64" spans="4:22">
      <c r="D64" s="32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97"/>
    </row>
    <row r="65" spans="4:22">
      <c r="D65" s="32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97"/>
    </row>
    <row r="66" spans="4:22">
      <c r="D66" s="167" t="s">
        <v>79</v>
      </c>
      <c r="E66" s="135"/>
      <c r="F66" s="135"/>
      <c r="G66" s="135"/>
      <c r="H66" s="140"/>
      <c r="I66" s="123" t="s">
        <v>80</v>
      </c>
      <c r="J66" s="123"/>
      <c r="K66" s="123"/>
      <c r="L66" s="123"/>
      <c r="M66" s="134"/>
      <c r="N66" s="123" t="s">
        <v>81</v>
      </c>
      <c r="O66" s="123"/>
      <c r="P66" s="123"/>
      <c r="Q66" s="123"/>
      <c r="R66" s="134"/>
      <c r="S66" s="123" t="s">
        <v>82</v>
      </c>
      <c r="T66" s="123"/>
      <c r="U66" s="123"/>
      <c r="V66" s="134"/>
    </row>
    <row r="67" ht="17.55" spans="4:22">
      <c r="D67" s="168"/>
      <c r="E67" s="137"/>
      <c r="F67" s="137"/>
      <c r="G67" s="137"/>
      <c r="H67" s="141"/>
      <c r="I67" s="125"/>
      <c r="J67" s="125"/>
      <c r="K67" s="125"/>
      <c r="L67" s="125"/>
      <c r="M67" s="136"/>
      <c r="N67" s="125"/>
      <c r="O67" s="125"/>
      <c r="P67" s="125"/>
      <c r="Q67" s="125"/>
      <c r="R67" s="136"/>
      <c r="S67" s="125"/>
      <c r="T67" s="125"/>
      <c r="U67" s="125"/>
      <c r="V67" s="136"/>
    </row>
    <row r="72" spans="4:64">
      <c r="D72" s="169" t="s">
        <v>91</v>
      </c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69"/>
      <c r="AJ72" s="169"/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</row>
    <row r="73" spans="4:64"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  <c r="AA73" s="169"/>
      <c r="AB73" s="169"/>
      <c r="AC73" s="169"/>
      <c r="AD73" s="169"/>
      <c r="AE73" s="169"/>
      <c r="AF73" s="169"/>
      <c r="AG73" s="169"/>
      <c r="AH73" s="169"/>
      <c r="AI73" s="169"/>
      <c r="AJ73" s="169"/>
      <c r="AK73" s="169"/>
      <c r="AL73" s="169"/>
      <c r="AM73" s="169"/>
      <c r="AN73" s="169"/>
      <c r="AO73" s="169"/>
      <c r="AP73" s="169"/>
      <c r="AQ73" s="169"/>
      <c r="AR73" s="169"/>
      <c r="AS73" s="169"/>
      <c r="AT73" s="169"/>
      <c r="AU73" s="169"/>
      <c r="AV73" s="169"/>
      <c r="AW73" s="169"/>
      <c r="AX73" s="169"/>
      <c r="AY73" s="169"/>
      <c r="AZ73" s="169"/>
      <c r="BA73" s="169"/>
      <c r="BB73" s="169"/>
      <c r="BC73" s="169"/>
      <c r="BD73" s="169"/>
      <c r="BE73" s="169"/>
      <c r="BF73" s="169"/>
      <c r="BG73" s="169"/>
      <c r="BH73" s="169"/>
      <c r="BI73" s="169"/>
      <c r="BJ73" s="169"/>
      <c r="BK73" s="169"/>
      <c r="BL73" s="169"/>
    </row>
    <row r="74" spans="4:64"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69"/>
      <c r="AJ74" s="169"/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</row>
    <row r="75" spans="4:64"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  <c r="AA75" s="169"/>
      <c r="AB75" s="169"/>
      <c r="AC75" s="169"/>
      <c r="AD75" s="169"/>
      <c r="AE75" s="169"/>
      <c r="AF75" s="169"/>
      <c r="AG75" s="169"/>
      <c r="AH75" s="169"/>
      <c r="AI75" s="169"/>
      <c r="AJ75" s="169"/>
      <c r="AK75" s="169"/>
      <c r="AL75" s="169"/>
      <c r="AM75" s="169"/>
      <c r="AN75" s="169"/>
      <c r="AO75" s="169"/>
      <c r="AP75" s="169"/>
      <c r="AQ75" s="169"/>
      <c r="AR75" s="169"/>
      <c r="AS75" s="169"/>
      <c r="AT75" s="169"/>
      <c r="AU75" s="169"/>
      <c r="AV75" s="169"/>
      <c r="AW75" s="169"/>
      <c r="AX75" s="169"/>
      <c r="AY75" s="169"/>
      <c r="AZ75" s="169"/>
      <c r="BA75" s="169"/>
      <c r="BB75" s="169"/>
      <c r="BC75" s="169"/>
      <c r="BD75" s="169"/>
      <c r="BE75" s="169"/>
      <c r="BF75" s="169"/>
      <c r="BG75" s="169"/>
      <c r="BH75" s="169"/>
      <c r="BI75" s="169"/>
      <c r="BJ75" s="169"/>
      <c r="BK75" s="169"/>
      <c r="BL75" s="169"/>
    </row>
    <row r="77" ht="17.55" spans="4:67">
      <c r="D77" s="25" t="s">
        <v>87</v>
      </c>
      <c r="Z77" s="25" t="s">
        <v>88</v>
      </c>
      <c r="AU77" s="25" t="s">
        <v>89</v>
      </c>
      <c r="BO77" s="25" t="s">
        <v>90</v>
      </c>
    </row>
    <row r="78" spans="2:84">
      <c r="B78" s="25" t="s">
        <v>1</v>
      </c>
      <c r="D78" s="28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96"/>
      <c r="Z78" s="28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96"/>
      <c r="AU78" s="28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96"/>
      <c r="BO78" s="28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96"/>
    </row>
    <row r="79" spans="1:84">
      <c r="A79" s="170"/>
      <c r="B79" s="25" t="s">
        <v>3</v>
      </c>
      <c r="D79" s="29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97"/>
      <c r="Z79" s="29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97"/>
      <c r="AU79" s="29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97"/>
      <c r="BO79" s="29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97"/>
    </row>
    <row r="80" spans="4:84">
      <c r="D80" s="29"/>
      <c r="E80" s="82" t="s">
        <v>5</v>
      </c>
      <c r="F80" s="85"/>
      <c r="G80" s="34"/>
      <c r="H80" s="82" t="s">
        <v>6</v>
      </c>
      <c r="I80" s="85"/>
      <c r="K80" s="82" t="s">
        <v>7</v>
      </c>
      <c r="L80" s="85"/>
      <c r="M80" s="34"/>
      <c r="N80" s="66"/>
      <c r="O80" s="100" t="s">
        <v>92</v>
      </c>
      <c r="P80" s="100"/>
      <c r="Q80" s="126" t="s">
        <v>93</v>
      </c>
      <c r="R80" s="126"/>
      <c r="S80" s="126"/>
      <c r="T80" s="101"/>
      <c r="U80" s="101"/>
      <c r="V80" s="97"/>
      <c r="Z80" s="29"/>
      <c r="AA80" s="82" t="s">
        <v>5</v>
      </c>
      <c r="AB80" s="85"/>
      <c r="AC80" s="34"/>
      <c r="AD80" s="82" t="s">
        <v>6</v>
      </c>
      <c r="AE80" s="85"/>
      <c r="AG80" s="82" t="s">
        <v>7</v>
      </c>
      <c r="AH80" s="85"/>
      <c r="AI80" s="34"/>
      <c r="AJ80" s="66"/>
      <c r="AK80" s="210" t="s">
        <v>94</v>
      </c>
      <c r="AL80" s="211"/>
      <c r="AM80" s="211"/>
      <c r="AN80" s="211"/>
      <c r="AO80" s="212"/>
      <c r="AP80" s="101"/>
      <c r="AQ80" s="101"/>
      <c r="AR80" s="97"/>
      <c r="AU80" s="29"/>
      <c r="AV80" s="82" t="s">
        <v>5</v>
      </c>
      <c r="AW80" s="85"/>
      <c r="AX80" s="34"/>
      <c r="AY80" s="82" t="s">
        <v>6</v>
      </c>
      <c r="AZ80" s="85"/>
      <c r="BB80" s="82" t="s">
        <v>7</v>
      </c>
      <c r="BC80" s="85"/>
      <c r="BD80" s="34"/>
      <c r="BE80" s="66"/>
      <c r="BF80" s="210" t="s">
        <v>94</v>
      </c>
      <c r="BG80" s="211"/>
      <c r="BH80" s="211"/>
      <c r="BI80" s="211"/>
      <c r="BJ80" s="212"/>
      <c r="BK80" s="101"/>
      <c r="BL80" s="97"/>
      <c r="BO80" s="29"/>
      <c r="BP80" s="227"/>
      <c r="BQ80" s="230" t="s">
        <v>95</v>
      </c>
      <c r="BR80" s="230"/>
      <c r="BS80" s="230"/>
      <c r="BT80" s="230"/>
      <c r="BU80" s="230"/>
      <c r="BV80" s="230"/>
      <c r="BW80" s="230"/>
      <c r="BX80" s="230"/>
      <c r="BY80" s="230"/>
      <c r="BZ80" s="230"/>
      <c r="CA80" s="230"/>
      <c r="CB80" s="230"/>
      <c r="CC80" s="230"/>
      <c r="CD80" s="230"/>
      <c r="CE80" s="87"/>
      <c r="CF80" s="97"/>
    </row>
    <row r="81" spans="1:84">
      <c r="A81" s="171" t="s">
        <v>96</v>
      </c>
      <c r="B81" s="171"/>
      <c r="D81" s="29"/>
      <c r="E81" s="34"/>
      <c r="F81" s="66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97"/>
      <c r="Z81" s="29"/>
      <c r="AA81" s="34"/>
      <c r="AB81" s="66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97"/>
      <c r="AU81" s="29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97"/>
      <c r="BO81" s="29"/>
      <c r="BP81" s="87"/>
      <c r="BQ81" s="230"/>
      <c r="BR81" s="230"/>
      <c r="BS81" s="230"/>
      <c r="BT81" s="230"/>
      <c r="BU81" s="230"/>
      <c r="BV81" s="230"/>
      <c r="BW81" s="230"/>
      <c r="BX81" s="230"/>
      <c r="BY81" s="230"/>
      <c r="BZ81" s="230"/>
      <c r="CA81" s="230"/>
      <c r="CB81" s="230"/>
      <c r="CC81" s="230"/>
      <c r="CD81" s="230"/>
      <c r="CE81" s="87"/>
      <c r="CF81" s="97"/>
    </row>
    <row r="82" spans="1:84">
      <c r="A82" s="171"/>
      <c r="B82" s="171"/>
      <c r="D82" s="29"/>
      <c r="E82" s="179" t="s">
        <v>97</v>
      </c>
      <c r="F82" s="180"/>
      <c r="G82" s="180"/>
      <c r="H82" s="180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97"/>
      <c r="Z82" s="29"/>
      <c r="AA82" s="179" t="s">
        <v>98</v>
      </c>
      <c r="AB82" s="180"/>
      <c r="AC82" s="180"/>
      <c r="AD82" s="180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97"/>
      <c r="AU82" s="29"/>
      <c r="AV82" s="179" t="s">
        <v>99</v>
      </c>
      <c r="AW82" s="179"/>
      <c r="AX82" s="179"/>
      <c r="AY82" s="179"/>
      <c r="AZ82" s="179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97"/>
      <c r="BO82" s="29"/>
      <c r="BP82" s="228"/>
      <c r="BQ82" s="230"/>
      <c r="BR82" s="230"/>
      <c r="BS82" s="230"/>
      <c r="BT82" s="230"/>
      <c r="BU82" s="230"/>
      <c r="BV82" s="230"/>
      <c r="BW82" s="230"/>
      <c r="BX82" s="230"/>
      <c r="BY82" s="230"/>
      <c r="BZ82" s="230"/>
      <c r="CA82" s="230"/>
      <c r="CB82" s="230"/>
      <c r="CC82" s="230"/>
      <c r="CD82" s="230"/>
      <c r="CE82" s="87"/>
      <c r="CF82" s="97"/>
    </row>
    <row r="83" spans="1:84">
      <c r="A83" s="171"/>
      <c r="B83" s="171"/>
      <c r="D83" s="29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97"/>
      <c r="Z83" s="29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97"/>
      <c r="AU83" s="29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97"/>
      <c r="BO83" s="29"/>
      <c r="BP83" s="87"/>
      <c r="BQ83" s="230"/>
      <c r="BR83" s="230"/>
      <c r="BS83" s="230"/>
      <c r="BT83" s="230"/>
      <c r="BU83" s="230"/>
      <c r="BV83" s="230"/>
      <c r="BW83" s="230"/>
      <c r="BX83" s="230"/>
      <c r="BY83" s="230"/>
      <c r="BZ83" s="230"/>
      <c r="CA83" s="230"/>
      <c r="CB83" s="230"/>
      <c r="CC83" s="230"/>
      <c r="CD83" s="230"/>
      <c r="CE83" s="87"/>
      <c r="CF83" s="97"/>
    </row>
    <row r="84" ht="20.4" spans="1:84">
      <c r="A84" s="171"/>
      <c r="B84" s="171"/>
      <c r="D84" s="172" t="s">
        <v>100</v>
      </c>
      <c r="E84" s="107"/>
      <c r="F84" s="107"/>
      <c r="G84" s="107"/>
      <c r="H84" s="107"/>
      <c r="I84" s="107"/>
      <c r="J84" s="107" t="s">
        <v>101</v>
      </c>
      <c r="K84" s="107"/>
      <c r="L84" s="107"/>
      <c r="M84" s="107"/>
      <c r="N84" s="107" t="s">
        <v>102</v>
      </c>
      <c r="O84" s="107"/>
      <c r="P84" s="107"/>
      <c r="Q84" s="78"/>
      <c r="R84" s="107" t="s">
        <v>103</v>
      </c>
      <c r="S84" s="107"/>
      <c r="T84" s="107"/>
      <c r="U84" s="107"/>
      <c r="V84" s="98"/>
      <c r="Z84" s="195"/>
      <c r="AA84" s="55" t="s">
        <v>104</v>
      </c>
      <c r="AB84" s="56"/>
      <c r="AC84" s="56"/>
      <c r="AD84" s="56"/>
      <c r="AE84" s="56" t="s">
        <v>105</v>
      </c>
      <c r="AF84" s="56"/>
      <c r="AG84" s="56"/>
      <c r="AH84" s="56"/>
      <c r="AI84" s="206" t="s">
        <v>106</v>
      </c>
      <c r="AJ84" s="206"/>
      <c r="AK84" s="206"/>
      <c r="AL84" s="206"/>
      <c r="AM84" s="206"/>
      <c r="AN84" s="206" t="s">
        <v>107</v>
      </c>
      <c r="AO84" s="206"/>
      <c r="AP84" s="206"/>
      <c r="AQ84" s="213"/>
      <c r="AR84" s="98"/>
      <c r="AU84" s="29"/>
      <c r="AV84" s="93" t="s">
        <v>108</v>
      </c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224"/>
      <c r="BL84" s="97"/>
      <c r="BO84" s="29"/>
      <c r="BP84" s="229"/>
      <c r="BQ84" s="230"/>
      <c r="BR84" s="230"/>
      <c r="BS84" s="230"/>
      <c r="BT84" s="230"/>
      <c r="BU84" s="230"/>
      <c r="BV84" s="230"/>
      <c r="BW84" s="230"/>
      <c r="BX84" s="230"/>
      <c r="BY84" s="230"/>
      <c r="BZ84" s="230"/>
      <c r="CA84" s="230"/>
      <c r="CB84" s="230"/>
      <c r="CC84" s="230"/>
      <c r="CD84" s="230"/>
      <c r="CE84" s="232"/>
      <c r="CF84" s="97"/>
    </row>
    <row r="85" ht="17.6" spans="1:84">
      <c r="A85" s="171"/>
      <c r="B85" s="171"/>
      <c r="D85" s="31">
        <v>500</v>
      </c>
      <c r="E85" s="26"/>
      <c r="F85" s="26"/>
      <c r="G85" s="26"/>
      <c r="H85" s="26"/>
      <c r="I85" s="26"/>
      <c r="J85" s="107">
        <v>150</v>
      </c>
      <c r="K85" s="107"/>
      <c r="L85" s="107"/>
      <c r="M85" s="26"/>
      <c r="N85" s="107">
        <v>100</v>
      </c>
      <c r="O85" s="107"/>
      <c r="P85" s="107"/>
      <c r="Q85" s="78"/>
      <c r="R85" s="107">
        <v>250</v>
      </c>
      <c r="S85" s="107"/>
      <c r="T85" s="107"/>
      <c r="U85" s="107"/>
      <c r="V85" s="98"/>
      <c r="Z85" s="196"/>
      <c r="AA85" s="197">
        <v>40000</v>
      </c>
      <c r="AB85" s="198"/>
      <c r="AC85" s="198"/>
      <c r="AD85" s="198"/>
      <c r="AE85" s="198">
        <v>10000</v>
      </c>
      <c r="AF85" s="198"/>
      <c r="AG85" s="198"/>
      <c r="AH85" s="198"/>
      <c r="AI85" s="207">
        <v>10000</v>
      </c>
      <c r="AJ85" s="207"/>
      <c r="AK85" s="207"/>
      <c r="AL85" s="207"/>
      <c r="AM85" s="207"/>
      <c r="AN85" s="207">
        <v>20000</v>
      </c>
      <c r="AO85" s="207"/>
      <c r="AP85" s="207"/>
      <c r="AQ85" s="214"/>
      <c r="AR85" s="98"/>
      <c r="AU85" s="29"/>
      <c r="AV85" s="16" t="s">
        <v>109</v>
      </c>
      <c r="AW85" s="16"/>
      <c r="AX85" s="16"/>
      <c r="AY85" s="16"/>
      <c r="AZ85" s="93">
        <v>2000</v>
      </c>
      <c r="BA85" s="93"/>
      <c r="BB85" s="93"/>
      <c r="BC85" s="222"/>
      <c r="BD85" s="222"/>
      <c r="BE85" s="16" t="s">
        <v>110</v>
      </c>
      <c r="BF85" s="16"/>
      <c r="BG85" s="223">
        <v>0.1</v>
      </c>
      <c r="BH85" s="223"/>
      <c r="BI85" s="223"/>
      <c r="BJ85" s="223"/>
      <c r="BK85" s="225"/>
      <c r="BL85" s="97"/>
      <c r="BO85" s="29"/>
      <c r="BP85" s="228"/>
      <c r="BQ85" s="230"/>
      <c r="BR85" s="230"/>
      <c r="BS85" s="230"/>
      <c r="BT85" s="230"/>
      <c r="BU85" s="230"/>
      <c r="BV85" s="230"/>
      <c r="BW85" s="230"/>
      <c r="BX85" s="230"/>
      <c r="BY85" s="230"/>
      <c r="BZ85" s="230"/>
      <c r="CA85" s="230"/>
      <c r="CB85" s="230"/>
      <c r="CC85" s="230"/>
      <c r="CD85" s="230"/>
      <c r="CE85" s="233"/>
      <c r="CF85" s="97"/>
    </row>
    <row r="86" ht="17.6" spans="1:84">
      <c r="A86" s="171"/>
      <c r="B86" s="171"/>
      <c r="D86" s="29"/>
      <c r="E86" s="51"/>
      <c r="F86" s="51"/>
      <c r="G86" s="51"/>
      <c r="H86" s="51"/>
      <c r="I86" s="51"/>
      <c r="J86" s="51"/>
      <c r="K86" s="76"/>
      <c r="L86" s="77"/>
      <c r="M86" s="77"/>
      <c r="N86" s="77"/>
      <c r="O86" s="77"/>
      <c r="P86" s="77"/>
      <c r="Q86" s="77"/>
      <c r="R86" s="77"/>
      <c r="S86" s="77"/>
      <c r="T86" s="77"/>
      <c r="U86" s="34"/>
      <c r="V86" s="97"/>
      <c r="Z86" s="29"/>
      <c r="AA86" s="52"/>
      <c r="AB86" s="52"/>
      <c r="AC86" s="52"/>
      <c r="AD86" s="52"/>
      <c r="AE86" s="52"/>
      <c r="AF86" s="52"/>
      <c r="AG86" s="78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97"/>
      <c r="AU86" s="29"/>
      <c r="AV86" s="16"/>
      <c r="AW86" s="16"/>
      <c r="AX86" s="16"/>
      <c r="AY86" s="16"/>
      <c r="AZ86" s="93">
        <v>1000</v>
      </c>
      <c r="BA86" s="93"/>
      <c r="BB86" s="93"/>
      <c r="BC86" s="222"/>
      <c r="BD86" s="222"/>
      <c r="BE86" s="16" t="s">
        <v>110</v>
      </c>
      <c r="BF86" s="16"/>
      <c r="BG86" s="223">
        <v>0.1</v>
      </c>
      <c r="BH86" s="223"/>
      <c r="BI86" s="223"/>
      <c r="BJ86" s="223"/>
      <c r="BK86" s="222"/>
      <c r="BL86" s="97"/>
      <c r="BO86" s="29"/>
      <c r="BP86" s="228"/>
      <c r="BQ86" s="230"/>
      <c r="BR86" s="230"/>
      <c r="BS86" s="230"/>
      <c r="BT86" s="230"/>
      <c r="BU86" s="230"/>
      <c r="BV86" s="230"/>
      <c r="BW86" s="230"/>
      <c r="BX86" s="230"/>
      <c r="BY86" s="230"/>
      <c r="BZ86" s="230"/>
      <c r="CA86" s="230"/>
      <c r="CB86" s="230"/>
      <c r="CC86" s="230"/>
      <c r="CD86" s="230"/>
      <c r="CE86" s="87"/>
      <c r="CF86" s="97"/>
    </row>
    <row r="87" ht="17.6" spans="4:84">
      <c r="D87" s="29"/>
      <c r="E87" s="52"/>
      <c r="F87" s="52"/>
      <c r="G87" s="53"/>
      <c r="H87" s="53"/>
      <c r="I87" s="52"/>
      <c r="J87" s="52"/>
      <c r="K87" s="78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97"/>
      <c r="Z87" s="195"/>
      <c r="AA87" s="55" t="s">
        <v>111</v>
      </c>
      <c r="AB87" s="56"/>
      <c r="AC87" s="56"/>
      <c r="AD87" s="56"/>
      <c r="AE87" s="56" t="s">
        <v>112</v>
      </c>
      <c r="AF87" s="56"/>
      <c r="AG87" s="56"/>
      <c r="AH87" s="56"/>
      <c r="AI87" s="206" t="s">
        <v>113</v>
      </c>
      <c r="AJ87" s="206"/>
      <c r="AK87" s="206"/>
      <c r="AL87" s="206"/>
      <c r="AM87" s="206"/>
      <c r="AN87" s="206" t="s">
        <v>114</v>
      </c>
      <c r="AO87" s="206"/>
      <c r="AP87" s="206"/>
      <c r="AQ87" s="213"/>
      <c r="AR87" s="97"/>
      <c r="AU87" s="29"/>
      <c r="AV87" s="16"/>
      <c r="AW87" s="16"/>
      <c r="AX87" s="16"/>
      <c r="AY87" s="16"/>
      <c r="AZ87" s="93">
        <v>1000</v>
      </c>
      <c r="BA87" s="93"/>
      <c r="BB87" s="93"/>
      <c r="BC87" s="222"/>
      <c r="BD87" s="222"/>
      <c r="BE87" s="16" t="s">
        <v>110</v>
      </c>
      <c r="BF87" s="16"/>
      <c r="BG87" s="223">
        <v>0.1</v>
      </c>
      <c r="BH87" s="223"/>
      <c r="BI87" s="223"/>
      <c r="BJ87" s="223"/>
      <c r="BK87" s="225" t="s">
        <v>36</v>
      </c>
      <c r="BL87" s="97"/>
      <c r="BO87" s="29"/>
      <c r="BP87" s="228"/>
      <c r="BQ87" s="230"/>
      <c r="BR87" s="230"/>
      <c r="BS87" s="230"/>
      <c r="BT87" s="230"/>
      <c r="BU87" s="230"/>
      <c r="BV87" s="230"/>
      <c r="BW87" s="230"/>
      <c r="BX87" s="230"/>
      <c r="BY87" s="230"/>
      <c r="BZ87" s="230"/>
      <c r="CA87" s="230"/>
      <c r="CB87" s="230"/>
      <c r="CC87" s="230"/>
      <c r="CD87" s="230"/>
      <c r="CE87" s="233"/>
      <c r="CF87" s="97"/>
    </row>
    <row r="88" ht="20.4" spans="4:84">
      <c r="D88" s="29"/>
      <c r="E88" s="181" t="s">
        <v>115</v>
      </c>
      <c r="F88" s="181"/>
      <c r="G88" s="181"/>
      <c r="H88" s="181"/>
      <c r="I88" s="181"/>
      <c r="J88" s="52"/>
      <c r="K88" s="78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97"/>
      <c r="Y88" s="34"/>
      <c r="Z88" s="195"/>
      <c r="AA88" s="199"/>
      <c r="AB88" s="27"/>
      <c r="AC88" s="27"/>
      <c r="AD88" s="27"/>
      <c r="AE88" s="201">
        <v>10000</v>
      </c>
      <c r="AF88" s="201"/>
      <c r="AG88" s="201"/>
      <c r="AH88" s="201"/>
      <c r="AI88" s="208">
        <v>10000</v>
      </c>
      <c r="AJ88" s="208"/>
      <c r="AK88" s="208"/>
      <c r="AL88" s="208"/>
      <c r="AM88" s="208"/>
      <c r="AN88" s="208">
        <v>20000</v>
      </c>
      <c r="AO88" s="208"/>
      <c r="AP88" s="208"/>
      <c r="AQ88" s="215"/>
      <c r="AR88" s="97"/>
      <c r="AU88" s="29"/>
      <c r="AV88" s="16"/>
      <c r="AW88" s="16"/>
      <c r="AX88" s="16"/>
      <c r="AY88" s="16"/>
      <c r="AZ88" s="93">
        <v>500</v>
      </c>
      <c r="BA88" s="93"/>
      <c r="BB88" s="93"/>
      <c r="BC88" s="222"/>
      <c r="BD88" s="93"/>
      <c r="BE88" s="16" t="s">
        <v>110</v>
      </c>
      <c r="BF88" s="16"/>
      <c r="BG88" s="223">
        <v>0.1</v>
      </c>
      <c r="BH88" s="223"/>
      <c r="BI88" s="223"/>
      <c r="BJ88" s="223"/>
      <c r="BK88" s="224"/>
      <c r="BL88" s="97"/>
      <c r="BO88" s="29"/>
      <c r="BP88" s="228"/>
      <c r="BQ88" s="230"/>
      <c r="BR88" s="230"/>
      <c r="BS88" s="230"/>
      <c r="BT88" s="230"/>
      <c r="BU88" s="230"/>
      <c r="BV88" s="230"/>
      <c r="BW88" s="230"/>
      <c r="BX88" s="230"/>
      <c r="BY88" s="230"/>
      <c r="BZ88" s="230"/>
      <c r="CA88" s="230"/>
      <c r="CB88" s="230"/>
      <c r="CC88" s="230"/>
      <c r="CD88" s="230"/>
      <c r="CE88" s="232"/>
      <c r="CF88" s="97"/>
    </row>
    <row r="89" ht="20.4" spans="1:84">
      <c r="A89" s="173" t="s">
        <v>116</v>
      </c>
      <c r="B89" s="174"/>
      <c r="D89" s="29"/>
      <c r="E89" s="107"/>
      <c r="F89" s="107"/>
      <c r="G89" s="107"/>
      <c r="H89" s="107"/>
      <c r="I89" s="107"/>
      <c r="J89" s="52"/>
      <c r="K89" s="78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97"/>
      <c r="Y89" s="34"/>
      <c r="Z89" s="196"/>
      <c r="AA89" s="200">
        <v>40000</v>
      </c>
      <c r="AB89" s="201"/>
      <c r="AC89" s="201"/>
      <c r="AD89" s="201"/>
      <c r="AE89" s="107" t="s">
        <v>117</v>
      </c>
      <c r="AF89" s="107"/>
      <c r="AG89" s="107"/>
      <c r="AH89" s="107"/>
      <c r="AI89" s="26" t="s">
        <v>118</v>
      </c>
      <c r="AJ89" s="26"/>
      <c r="AK89" s="26"/>
      <c r="AL89" s="26"/>
      <c r="AM89" s="26"/>
      <c r="AN89" s="26" t="s">
        <v>119</v>
      </c>
      <c r="AO89" s="26"/>
      <c r="AP89" s="26"/>
      <c r="AQ89" s="216"/>
      <c r="AR89" s="97"/>
      <c r="AU89" s="29"/>
      <c r="AV89" s="16"/>
      <c r="AW89" s="16"/>
      <c r="AX89" s="16"/>
      <c r="AY89" s="16"/>
      <c r="AZ89" s="93">
        <v>500</v>
      </c>
      <c r="BA89" s="93"/>
      <c r="BB89" s="93"/>
      <c r="BC89" s="222"/>
      <c r="BD89" s="93"/>
      <c r="BE89" s="16" t="s">
        <v>110</v>
      </c>
      <c r="BF89" s="16"/>
      <c r="BG89" s="223">
        <v>0.1</v>
      </c>
      <c r="BH89" s="223"/>
      <c r="BI89" s="223"/>
      <c r="BJ89" s="223"/>
      <c r="BK89" s="224"/>
      <c r="BL89" s="97"/>
      <c r="BO89" s="29"/>
      <c r="BP89" s="228"/>
      <c r="BQ89" s="230"/>
      <c r="BR89" s="230"/>
      <c r="BS89" s="230"/>
      <c r="BT89" s="230"/>
      <c r="BU89" s="230"/>
      <c r="BV89" s="230"/>
      <c r="BW89" s="230"/>
      <c r="BX89" s="230"/>
      <c r="BY89" s="230"/>
      <c r="BZ89" s="230"/>
      <c r="CA89" s="230"/>
      <c r="CB89" s="230"/>
      <c r="CC89" s="230"/>
      <c r="CD89" s="230"/>
      <c r="CE89" s="232"/>
      <c r="CF89" s="97"/>
    </row>
    <row r="90" spans="1:84">
      <c r="A90" s="174"/>
      <c r="B90" s="174"/>
      <c r="D90" s="175" t="s">
        <v>120</v>
      </c>
      <c r="E90" s="27"/>
      <c r="F90" s="27"/>
      <c r="G90" s="148"/>
      <c r="H90" s="27" t="s">
        <v>121</v>
      </c>
      <c r="I90" s="27"/>
      <c r="J90" s="27"/>
      <c r="K90" s="27"/>
      <c r="L90" s="148"/>
      <c r="M90" s="27" t="s">
        <v>122</v>
      </c>
      <c r="N90" s="27"/>
      <c r="O90" s="27"/>
      <c r="P90" s="188"/>
      <c r="Q90" s="66" t="s">
        <v>123</v>
      </c>
      <c r="R90" s="66"/>
      <c r="S90" s="66"/>
      <c r="T90" s="66"/>
      <c r="U90" s="66"/>
      <c r="V90" s="97"/>
      <c r="Z90" s="196"/>
      <c r="AA90" s="197"/>
      <c r="AB90" s="198"/>
      <c r="AC90" s="198"/>
      <c r="AD90" s="198"/>
      <c r="AE90" s="198">
        <v>10000</v>
      </c>
      <c r="AF90" s="198"/>
      <c r="AG90" s="198"/>
      <c r="AH90" s="198"/>
      <c r="AI90" s="209">
        <v>3000</v>
      </c>
      <c r="AJ90" s="209"/>
      <c r="AK90" s="209"/>
      <c r="AL90" s="209"/>
      <c r="AM90" s="209"/>
      <c r="AN90" s="207">
        <v>4000</v>
      </c>
      <c r="AO90" s="207"/>
      <c r="AP90" s="207"/>
      <c r="AQ90" s="214"/>
      <c r="AR90" s="97"/>
      <c r="AU90" s="29"/>
      <c r="BL90" s="97"/>
      <c r="BO90" s="29"/>
      <c r="BP90" s="46"/>
      <c r="BQ90" s="230"/>
      <c r="BR90" s="230"/>
      <c r="BS90" s="230"/>
      <c r="BT90" s="230"/>
      <c r="BU90" s="230"/>
      <c r="BV90" s="230"/>
      <c r="BW90" s="230"/>
      <c r="BX90" s="230"/>
      <c r="BY90" s="230"/>
      <c r="BZ90" s="230"/>
      <c r="CA90" s="230"/>
      <c r="CB90" s="230"/>
      <c r="CC90" s="230"/>
      <c r="CD90" s="230"/>
      <c r="CE90" s="46"/>
      <c r="CF90" s="97"/>
    </row>
    <row r="91" ht="20.4" spans="1:84">
      <c r="A91" s="174"/>
      <c r="B91" s="174"/>
      <c r="D91" s="29">
        <v>360</v>
      </c>
      <c r="G91" s="165"/>
      <c r="H91" s="27">
        <v>60</v>
      </c>
      <c r="I91" s="27"/>
      <c r="J91" s="27"/>
      <c r="K91" s="27"/>
      <c r="L91" s="148"/>
      <c r="M91" s="27">
        <v>100</v>
      </c>
      <c r="N91" s="27"/>
      <c r="O91" s="27"/>
      <c r="P91" s="188"/>
      <c r="Q91" s="66">
        <v>150</v>
      </c>
      <c r="R91" s="66"/>
      <c r="S91" s="66"/>
      <c r="T91" s="66"/>
      <c r="U91" s="66"/>
      <c r="V91" s="97"/>
      <c r="Z91" s="31"/>
      <c r="AA91" s="202"/>
      <c r="AB91" s="202"/>
      <c r="AC91" s="202"/>
      <c r="AD91" s="202"/>
      <c r="AE91" s="202"/>
      <c r="AF91" s="202"/>
      <c r="AG91" s="42"/>
      <c r="AH91" s="41"/>
      <c r="AI91" s="41"/>
      <c r="AJ91" s="41"/>
      <c r="AK91" s="41"/>
      <c r="AL91" s="41"/>
      <c r="AM91" s="41"/>
      <c r="AN91" s="41"/>
      <c r="AO91" s="41"/>
      <c r="AP91" s="41"/>
      <c r="AQ91" s="42"/>
      <c r="AR91" s="97"/>
      <c r="AU91" s="29"/>
      <c r="AV91" s="219" t="s">
        <v>124</v>
      </c>
      <c r="AW91" s="219"/>
      <c r="AX91" s="219"/>
      <c r="AY91" s="219"/>
      <c r="AZ91" s="219"/>
      <c r="BA91" s="219"/>
      <c r="BB91" s="219"/>
      <c r="BC91" s="219"/>
      <c r="BD91" s="93" t="s">
        <v>38</v>
      </c>
      <c r="BE91" s="93"/>
      <c r="BF91" s="93"/>
      <c r="BG91" s="93" t="s">
        <v>125</v>
      </c>
      <c r="BH91" s="93"/>
      <c r="BI91" s="93"/>
      <c r="BJ91" s="93"/>
      <c r="BK91" s="224"/>
      <c r="BL91" s="97"/>
      <c r="BO91" s="29"/>
      <c r="BP91" s="229"/>
      <c r="BQ91" s="230"/>
      <c r="BR91" s="230"/>
      <c r="BS91" s="230"/>
      <c r="BT91" s="230"/>
      <c r="BU91" s="230"/>
      <c r="BV91" s="230"/>
      <c r="BW91" s="230"/>
      <c r="BX91" s="230"/>
      <c r="BY91" s="230"/>
      <c r="BZ91" s="230"/>
      <c r="CA91" s="230"/>
      <c r="CB91" s="230"/>
      <c r="CC91" s="230"/>
      <c r="CD91" s="230"/>
      <c r="CE91" s="232"/>
      <c r="CF91" s="97"/>
    </row>
    <row r="92" ht="17.6" spans="1:84">
      <c r="A92" s="174"/>
      <c r="B92" s="174"/>
      <c r="D92" s="29"/>
      <c r="E92" s="34"/>
      <c r="F92" s="34"/>
      <c r="G92" s="165"/>
      <c r="H92" s="34"/>
      <c r="I92" s="34"/>
      <c r="L92" s="165"/>
      <c r="O92" s="34"/>
      <c r="P92" s="97"/>
      <c r="Q92" s="34"/>
      <c r="R92" s="34"/>
      <c r="S92" s="34"/>
      <c r="T92" s="34"/>
      <c r="U92" s="34"/>
      <c r="V92" s="97"/>
      <c r="Z92" s="172"/>
      <c r="AA92" s="106"/>
      <c r="AB92" s="106"/>
      <c r="AC92" s="106"/>
      <c r="AD92" s="106"/>
      <c r="AE92" s="106"/>
      <c r="AF92" s="106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97"/>
      <c r="AU92" s="29"/>
      <c r="AV92" s="16" t="s">
        <v>109</v>
      </c>
      <c r="AW92" s="16"/>
      <c r="AX92" s="16"/>
      <c r="AY92" s="16"/>
      <c r="AZ92" s="221" t="s">
        <v>126</v>
      </c>
      <c r="BA92" s="221"/>
      <c r="BB92" s="221"/>
      <c r="BC92" s="222"/>
      <c r="BD92" s="221">
        <v>18000</v>
      </c>
      <c r="BE92" s="221"/>
      <c r="BF92" s="221"/>
      <c r="BG92" s="221">
        <v>2000</v>
      </c>
      <c r="BH92" s="221"/>
      <c r="BI92" s="221"/>
      <c r="BJ92" s="223"/>
      <c r="BK92" s="225"/>
      <c r="BL92" s="97"/>
      <c r="BO92" s="29"/>
      <c r="BP92" s="228"/>
      <c r="BQ92" s="230"/>
      <c r="BR92" s="230"/>
      <c r="BS92" s="230"/>
      <c r="BT92" s="230"/>
      <c r="BU92" s="230"/>
      <c r="BV92" s="230"/>
      <c r="BW92" s="230"/>
      <c r="BX92" s="230"/>
      <c r="BY92" s="230"/>
      <c r="BZ92" s="230"/>
      <c r="CA92" s="230"/>
      <c r="CB92" s="230"/>
      <c r="CC92" s="230"/>
      <c r="CD92" s="230"/>
      <c r="CE92" s="233"/>
      <c r="CF92" s="97"/>
    </row>
    <row r="93" ht="17.6" spans="1:85">
      <c r="A93" s="174"/>
      <c r="B93" s="174"/>
      <c r="D93" s="175" t="s">
        <v>127</v>
      </c>
      <c r="E93" s="27"/>
      <c r="F93" s="27"/>
      <c r="G93" s="148"/>
      <c r="H93" s="66" t="s">
        <v>127</v>
      </c>
      <c r="I93" s="27"/>
      <c r="J93" s="27"/>
      <c r="K93" s="27"/>
      <c r="L93" s="148"/>
      <c r="M93" s="66" t="s">
        <v>127</v>
      </c>
      <c r="N93" s="27"/>
      <c r="O93" s="27"/>
      <c r="P93" s="188"/>
      <c r="Q93" s="66" t="s">
        <v>127</v>
      </c>
      <c r="R93" s="66"/>
      <c r="S93" s="66"/>
      <c r="T93" s="66"/>
      <c r="U93" s="66"/>
      <c r="V93" s="97"/>
      <c r="Z93" s="172"/>
      <c r="AA93" s="179" t="s">
        <v>128</v>
      </c>
      <c r="AB93" s="180"/>
      <c r="AC93" s="180"/>
      <c r="AD93" s="180"/>
      <c r="AE93" s="106"/>
      <c r="AF93" s="106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97"/>
      <c r="AU93" s="29"/>
      <c r="AV93" s="16"/>
      <c r="AW93" s="16"/>
      <c r="AX93" s="16"/>
      <c r="AY93" s="16"/>
      <c r="AZ93" s="221" t="s">
        <v>129</v>
      </c>
      <c r="BA93" s="221"/>
      <c r="BB93" s="221"/>
      <c r="BC93" s="222"/>
      <c r="BD93" s="221">
        <v>30000</v>
      </c>
      <c r="BE93" s="221"/>
      <c r="BF93" s="221"/>
      <c r="BG93" s="221">
        <v>3000</v>
      </c>
      <c r="BH93" s="221"/>
      <c r="BI93" s="221"/>
      <c r="BJ93" s="223"/>
      <c r="BK93" s="222"/>
      <c r="BL93" s="97"/>
      <c r="BM93" s="25" t="s">
        <v>130</v>
      </c>
      <c r="BO93" s="29"/>
      <c r="BP93" s="228"/>
      <c r="BQ93" s="228"/>
      <c r="BR93" s="228"/>
      <c r="BS93" s="228"/>
      <c r="BT93" s="231"/>
      <c r="BU93" s="231"/>
      <c r="BV93" s="231"/>
      <c r="BW93" s="87"/>
      <c r="BX93" s="231"/>
      <c r="BY93" s="231"/>
      <c r="BZ93" s="231"/>
      <c r="CA93" s="231"/>
      <c r="CB93" s="231"/>
      <c r="CC93" s="231"/>
      <c r="CD93" s="234"/>
      <c r="CE93" s="87"/>
      <c r="CF93" s="97"/>
      <c r="CG93" s="25" t="s">
        <v>130</v>
      </c>
    </row>
    <row r="94" ht="17.6" spans="1:84">
      <c r="A94" s="174"/>
      <c r="B94" s="174"/>
      <c r="D94" s="29">
        <v>130</v>
      </c>
      <c r="G94" s="165"/>
      <c r="H94" s="27">
        <v>60</v>
      </c>
      <c r="I94" s="27"/>
      <c r="J94" s="27"/>
      <c r="K94" s="27"/>
      <c r="L94" s="148"/>
      <c r="M94" s="27">
        <v>20</v>
      </c>
      <c r="N94" s="27"/>
      <c r="O94" s="27"/>
      <c r="P94" s="188"/>
      <c r="Q94" s="66"/>
      <c r="R94" s="66">
        <v>50</v>
      </c>
      <c r="S94" s="66"/>
      <c r="T94" s="66"/>
      <c r="U94" s="66"/>
      <c r="V94" s="97"/>
      <c r="Z94" s="172"/>
      <c r="AA94" s="106"/>
      <c r="AB94" s="106"/>
      <c r="AC94" s="106"/>
      <c r="AD94" s="106"/>
      <c r="AE94" s="106"/>
      <c r="AF94" s="106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97"/>
      <c r="AU94" s="29"/>
      <c r="AV94" s="16"/>
      <c r="AW94" s="16"/>
      <c r="AX94" s="16"/>
      <c r="AY94" s="16"/>
      <c r="AZ94" s="221" t="s">
        <v>131</v>
      </c>
      <c r="BA94" s="221"/>
      <c r="BB94" s="221"/>
      <c r="BC94" s="222"/>
      <c r="BD94" s="221">
        <v>25000</v>
      </c>
      <c r="BE94" s="221"/>
      <c r="BF94" s="221"/>
      <c r="BG94" s="221">
        <v>5000</v>
      </c>
      <c r="BH94" s="221"/>
      <c r="BI94" s="221"/>
      <c r="BJ94" s="223"/>
      <c r="BK94" s="225" t="s">
        <v>36</v>
      </c>
      <c r="BL94" s="97"/>
      <c r="BO94" s="29"/>
      <c r="BP94" s="228"/>
      <c r="BQ94" s="228"/>
      <c r="BR94" s="228"/>
      <c r="BS94" s="228"/>
      <c r="BT94" s="231"/>
      <c r="BU94" s="231"/>
      <c r="BV94" s="231"/>
      <c r="BW94" s="87"/>
      <c r="BX94" s="231"/>
      <c r="BY94" s="231"/>
      <c r="BZ94" s="231"/>
      <c r="CA94" s="231"/>
      <c r="CB94" s="231"/>
      <c r="CC94" s="231"/>
      <c r="CD94" s="234"/>
      <c r="CE94" s="233"/>
      <c r="CF94" s="97"/>
    </row>
    <row r="95" ht="20.4" spans="1:84">
      <c r="A95" s="174"/>
      <c r="B95" s="174"/>
      <c r="D95" s="29"/>
      <c r="G95" s="165"/>
      <c r="L95" s="165"/>
      <c r="P95" s="97"/>
      <c r="Q95" s="34"/>
      <c r="R95" s="34"/>
      <c r="S95" s="34"/>
      <c r="T95" s="34"/>
      <c r="U95" s="34"/>
      <c r="V95" s="97"/>
      <c r="Z95" s="172"/>
      <c r="AA95" s="203" t="s">
        <v>132</v>
      </c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17"/>
      <c r="AR95" s="97"/>
      <c r="AU95" s="29"/>
      <c r="AV95" s="16"/>
      <c r="AW95" s="16"/>
      <c r="AX95" s="16"/>
      <c r="AY95" s="16"/>
      <c r="AZ95" s="221" t="s">
        <v>133</v>
      </c>
      <c r="BA95" s="221"/>
      <c r="BB95" s="221"/>
      <c r="BC95" s="222"/>
      <c r="BD95" s="221">
        <v>3000</v>
      </c>
      <c r="BE95" s="221"/>
      <c r="BF95" s="221"/>
      <c r="BG95" s="221">
        <v>1000</v>
      </c>
      <c r="BH95" s="221"/>
      <c r="BI95" s="221"/>
      <c r="BJ95" s="223"/>
      <c r="BK95" s="224"/>
      <c r="BL95" s="97"/>
      <c r="BO95" s="29"/>
      <c r="BP95" s="228"/>
      <c r="BQ95" s="228"/>
      <c r="BR95" s="228"/>
      <c r="BS95" s="228"/>
      <c r="BT95" s="231"/>
      <c r="BU95" s="231"/>
      <c r="BV95" s="231"/>
      <c r="BW95" s="87"/>
      <c r="BX95" s="231"/>
      <c r="BY95" s="231"/>
      <c r="BZ95" s="231"/>
      <c r="CA95" s="231"/>
      <c r="CB95" s="231"/>
      <c r="CC95" s="231"/>
      <c r="CD95" s="234"/>
      <c r="CE95" s="232"/>
      <c r="CF95" s="97"/>
    </row>
    <row r="96" ht="17.6" spans="1:84">
      <c r="A96" s="174"/>
      <c r="B96" s="174"/>
      <c r="D96" s="175" t="s">
        <v>134</v>
      </c>
      <c r="E96" s="27"/>
      <c r="F96" s="27"/>
      <c r="G96" s="148"/>
      <c r="H96" s="66" t="s">
        <v>134</v>
      </c>
      <c r="I96" s="27"/>
      <c r="J96" s="27"/>
      <c r="K96" s="27"/>
      <c r="L96" s="148"/>
      <c r="M96" s="66" t="s">
        <v>134</v>
      </c>
      <c r="N96" s="27"/>
      <c r="O96" s="27"/>
      <c r="P96" s="188"/>
      <c r="Q96" s="66" t="s">
        <v>134</v>
      </c>
      <c r="R96" s="66"/>
      <c r="S96" s="66"/>
      <c r="T96" s="66"/>
      <c r="U96" s="66"/>
      <c r="V96" s="97"/>
      <c r="Z96" s="172"/>
      <c r="AA96" s="106"/>
      <c r="AB96" s="106"/>
      <c r="AC96" s="106"/>
      <c r="AD96" s="106"/>
      <c r="AE96" s="106"/>
      <c r="AF96" s="106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97"/>
      <c r="AU96" s="29"/>
      <c r="AV96" s="16"/>
      <c r="AW96" s="16"/>
      <c r="AX96" s="16"/>
      <c r="AY96" s="16"/>
      <c r="AZ96" s="221" t="s">
        <v>135</v>
      </c>
      <c r="BA96" s="221"/>
      <c r="BB96" s="221"/>
      <c r="BC96" s="222"/>
      <c r="BD96" s="221">
        <v>6000</v>
      </c>
      <c r="BE96" s="221"/>
      <c r="BF96" s="221"/>
      <c r="BG96" s="221">
        <v>1000</v>
      </c>
      <c r="BH96" s="221"/>
      <c r="BI96" s="221"/>
      <c r="BJ96" s="223"/>
      <c r="BK96" s="222"/>
      <c r="BL96" s="97"/>
      <c r="BO96" s="29"/>
      <c r="BP96" s="228"/>
      <c r="BQ96" s="228"/>
      <c r="BR96" s="228"/>
      <c r="BS96" s="228"/>
      <c r="BT96" s="231"/>
      <c r="BU96" s="231"/>
      <c r="BV96" s="231"/>
      <c r="BW96" s="87"/>
      <c r="BX96" s="231"/>
      <c r="BY96" s="231"/>
      <c r="BZ96" s="231"/>
      <c r="CA96" s="231"/>
      <c r="CB96" s="231"/>
      <c r="CC96" s="231"/>
      <c r="CD96" s="234"/>
      <c r="CE96" s="87"/>
      <c r="CF96" s="97"/>
    </row>
    <row r="97" spans="1:84">
      <c r="A97" s="174"/>
      <c r="B97" s="174"/>
      <c r="D97" s="29">
        <v>260</v>
      </c>
      <c r="G97" s="165"/>
      <c r="H97" s="27">
        <v>120</v>
      </c>
      <c r="I97" s="27"/>
      <c r="J97" s="27"/>
      <c r="K97" s="27"/>
      <c r="L97" s="148"/>
      <c r="M97" s="27">
        <v>40</v>
      </c>
      <c r="N97" s="27"/>
      <c r="O97" s="27"/>
      <c r="P97" s="188"/>
      <c r="Q97" s="66"/>
      <c r="R97" s="66">
        <v>100</v>
      </c>
      <c r="S97" s="66"/>
      <c r="T97" s="66"/>
      <c r="U97" s="66"/>
      <c r="V97" s="97"/>
      <c r="Z97" s="172"/>
      <c r="AA97" s="203" t="s">
        <v>136</v>
      </c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17"/>
      <c r="AR97" s="97"/>
      <c r="AU97" s="29"/>
      <c r="BL97" s="97"/>
      <c r="BO97" s="29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97"/>
    </row>
    <row r="98" ht="20.4" spans="4:84">
      <c r="D98" s="29"/>
      <c r="G98" s="165"/>
      <c r="L98" s="165"/>
      <c r="P98" s="97"/>
      <c r="Q98" s="34"/>
      <c r="R98" s="34"/>
      <c r="S98" s="34"/>
      <c r="T98" s="34"/>
      <c r="U98" s="34"/>
      <c r="V98" s="97"/>
      <c r="Z98" s="172"/>
      <c r="AA98" s="106"/>
      <c r="AB98" s="106"/>
      <c r="AC98" s="106"/>
      <c r="AD98" s="106"/>
      <c r="AE98" s="106"/>
      <c r="AF98" s="106"/>
      <c r="AG98" s="106"/>
      <c r="AH98" s="106"/>
      <c r="AI98" s="106"/>
      <c r="AJ98" s="106"/>
      <c r="AK98" s="106"/>
      <c r="AL98" s="106"/>
      <c r="AM98" s="106"/>
      <c r="AN98" s="106"/>
      <c r="AO98" s="106"/>
      <c r="AP98" s="106"/>
      <c r="AQ98" s="106"/>
      <c r="AR98" s="97"/>
      <c r="AU98" s="29"/>
      <c r="AV98" s="219" t="s">
        <v>137</v>
      </c>
      <c r="AW98" s="219"/>
      <c r="AX98" s="219"/>
      <c r="AY98" s="219"/>
      <c r="AZ98" s="219"/>
      <c r="BA98" s="219"/>
      <c r="BB98" s="219"/>
      <c r="BC98" s="219"/>
      <c r="BD98" s="219"/>
      <c r="BE98" s="93"/>
      <c r="BF98" s="93"/>
      <c r="BG98" s="93"/>
      <c r="BH98" s="93"/>
      <c r="BI98" s="93"/>
      <c r="BJ98" s="93"/>
      <c r="BK98" s="224"/>
      <c r="BL98" s="97"/>
      <c r="BO98" s="29"/>
      <c r="BP98" s="229"/>
      <c r="BQ98" s="229"/>
      <c r="BR98" s="229"/>
      <c r="BS98" s="229"/>
      <c r="BT98" s="229"/>
      <c r="BU98" s="229"/>
      <c r="BV98" s="229"/>
      <c r="BW98" s="229"/>
      <c r="BX98" s="229"/>
      <c r="BY98" s="229"/>
      <c r="BZ98" s="229"/>
      <c r="CA98" s="229"/>
      <c r="CB98" s="229"/>
      <c r="CC98" s="229"/>
      <c r="CD98" s="229"/>
      <c r="CE98" s="232"/>
      <c r="CF98" s="97"/>
    </row>
    <row r="99" ht="18.35" spans="4:84">
      <c r="D99" s="29"/>
      <c r="E99" s="182"/>
      <c r="F99" s="182"/>
      <c r="G99" s="182"/>
      <c r="H99" s="182"/>
      <c r="I99" s="182"/>
      <c r="J99" s="182"/>
      <c r="K99" s="184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97"/>
      <c r="Z99" s="172"/>
      <c r="AA99" s="203" t="s">
        <v>138</v>
      </c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17"/>
      <c r="AR99" s="97"/>
      <c r="AU99" s="29"/>
      <c r="AV99" s="16" t="s">
        <v>109</v>
      </c>
      <c r="AW99" s="16"/>
      <c r="AX99" s="16"/>
      <c r="AY99" s="16"/>
      <c r="AZ99" s="221" t="s">
        <v>139</v>
      </c>
      <c r="BA99" s="221"/>
      <c r="BB99" s="221"/>
      <c r="BC99" s="222"/>
      <c r="BD99" s="221">
        <v>18000</v>
      </c>
      <c r="BE99" s="221"/>
      <c r="BF99" s="221"/>
      <c r="BG99" s="221">
        <v>2000</v>
      </c>
      <c r="BH99" s="221"/>
      <c r="BI99" s="221"/>
      <c r="BJ99" s="223"/>
      <c r="BK99" s="225"/>
      <c r="BL99" s="97"/>
      <c r="BO99" s="29"/>
      <c r="BP99" s="228"/>
      <c r="BQ99" s="228"/>
      <c r="BR99" s="228"/>
      <c r="BS99" s="228"/>
      <c r="BT99" s="231"/>
      <c r="BU99" s="231"/>
      <c r="BV99" s="231"/>
      <c r="BW99" s="87"/>
      <c r="BX99" s="231"/>
      <c r="BY99" s="231"/>
      <c r="BZ99" s="231"/>
      <c r="CA99" s="231"/>
      <c r="CB99" s="231"/>
      <c r="CC99" s="231"/>
      <c r="CD99" s="234"/>
      <c r="CE99" s="233"/>
      <c r="CF99" s="97"/>
    </row>
    <row r="100" ht="17.6" spans="4:85">
      <c r="D100" s="29"/>
      <c r="E100" s="53"/>
      <c r="F100" s="53"/>
      <c r="G100" s="53"/>
      <c r="H100" s="53"/>
      <c r="I100" s="53"/>
      <c r="J100" s="53"/>
      <c r="K100" s="26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97"/>
      <c r="Z100" s="172"/>
      <c r="AA100" s="106"/>
      <c r="AB100" s="106"/>
      <c r="AC100" s="106"/>
      <c r="AD100" s="106"/>
      <c r="AE100" s="106"/>
      <c r="AF100" s="106"/>
      <c r="AG100" s="106"/>
      <c r="AH100" s="106"/>
      <c r="AI100" s="106"/>
      <c r="AJ100" s="106"/>
      <c r="AK100" s="106"/>
      <c r="AL100" s="106"/>
      <c r="AM100" s="106"/>
      <c r="AN100" s="106"/>
      <c r="AO100" s="106"/>
      <c r="AP100" s="106"/>
      <c r="AQ100" s="106"/>
      <c r="AR100" s="97"/>
      <c r="AU100" s="29"/>
      <c r="AV100" s="16"/>
      <c r="AW100" s="16"/>
      <c r="AX100" s="16"/>
      <c r="AY100" s="16"/>
      <c r="AZ100" s="221" t="s">
        <v>140</v>
      </c>
      <c r="BA100" s="221"/>
      <c r="BB100" s="221"/>
      <c r="BC100" s="222"/>
      <c r="BD100" s="221">
        <v>30000</v>
      </c>
      <c r="BE100" s="221"/>
      <c r="BF100" s="221"/>
      <c r="BG100" s="221">
        <v>3000</v>
      </c>
      <c r="BH100" s="221"/>
      <c r="BI100" s="221"/>
      <c r="BJ100" s="223"/>
      <c r="BK100" s="222"/>
      <c r="BL100" s="97"/>
      <c r="BM100" s="25" t="s">
        <v>130</v>
      </c>
      <c r="BO100" s="29"/>
      <c r="BP100" s="228"/>
      <c r="BQ100" s="228"/>
      <c r="BR100" s="228"/>
      <c r="BS100" s="228"/>
      <c r="BT100" s="231"/>
      <c r="BU100" s="231"/>
      <c r="BV100" s="231"/>
      <c r="BW100" s="87"/>
      <c r="BX100" s="231"/>
      <c r="BY100" s="231"/>
      <c r="BZ100" s="231"/>
      <c r="CA100" s="231"/>
      <c r="CB100" s="231"/>
      <c r="CC100" s="231"/>
      <c r="CD100" s="234"/>
      <c r="CE100" s="87"/>
      <c r="CF100" s="97"/>
      <c r="CG100" s="25" t="s">
        <v>130</v>
      </c>
    </row>
    <row r="101" ht="17.6" spans="4:84">
      <c r="D101" s="29"/>
      <c r="E101" s="181" t="s">
        <v>141</v>
      </c>
      <c r="F101" s="181"/>
      <c r="G101" s="181"/>
      <c r="H101" s="181"/>
      <c r="I101" s="181"/>
      <c r="J101" s="181"/>
      <c r="K101" s="181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97"/>
      <c r="Z101" s="31"/>
      <c r="AA101" s="78"/>
      <c r="AB101" s="78"/>
      <c r="AC101" s="78"/>
      <c r="AD101" s="106"/>
      <c r="AE101" s="106"/>
      <c r="AF101" s="106"/>
      <c r="AG101" s="106"/>
      <c r="AH101" s="106"/>
      <c r="AI101" s="106"/>
      <c r="AJ101" s="106"/>
      <c r="AK101" s="106"/>
      <c r="AL101" s="106"/>
      <c r="AM101" s="106"/>
      <c r="AN101" s="106"/>
      <c r="AO101" s="106"/>
      <c r="AP101" s="106"/>
      <c r="AQ101" s="106"/>
      <c r="AR101" s="97"/>
      <c r="AU101" s="29"/>
      <c r="AV101" s="16"/>
      <c r="AW101" s="16"/>
      <c r="AX101" s="16"/>
      <c r="AY101" s="16"/>
      <c r="AZ101" s="221" t="s">
        <v>142</v>
      </c>
      <c r="BA101" s="221"/>
      <c r="BB101" s="221"/>
      <c r="BC101" s="222"/>
      <c r="BD101" s="221">
        <v>25000</v>
      </c>
      <c r="BE101" s="221"/>
      <c r="BF101" s="221"/>
      <c r="BG101" s="221">
        <v>5000</v>
      </c>
      <c r="BH101" s="221"/>
      <c r="BI101" s="221"/>
      <c r="BJ101" s="223"/>
      <c r="BK101" s="225" t="s">
        <v>36</v>
      </c>
      <c r="BL101" s="97"/>
      <c r="BO101" s="29"/>
      <c r="BP101" s="228"/>
      <c r="BQ101" s="228"/>
      <c r="BR101" s="228"/>
      <c r="BS101" s="228"/>
      <c r="BT101" s="231"/>
      <c r="BU101" s="231"/>
      <c r="BV101" s="231"/>
      <c r="BW101" s="87"/>
      <c r="BX101" s="231"/>
      <c r="BY101" s="231"/>
      <c r="BZ101" s="231"/>
      <c r="CA101" s="231"/>
      <c r="CB101" s="231"/>
      <c r="CC101" s="231"/>
      <c r="CD101" s="234"/>
      <c r="CE101" s="233"/>
      <c r="CF101" s="97"/>
    </row>
    <row r="102" ht="20.4" spans="4:84">
      <c r="D102" s="29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97"/>
      <c r="Z102" s="31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97"/>
      <c r="AU102" s="29"/>
      <c r="AV102" s="16"/>
      <c r="AW102" s="16"/>
      <c r="AX102" s="16"/>
      <c r="AY102" s="16"/>
      <c r="AZ102" s="221" t="s">
        <v>143</v>
      </c>
      <c r="BA102" s="221"/>
      <c r="BB102" s="221"/>
      <c r="BC102" s="222"/>
      <c r="BD102" s="221">
        <v>3000</v>
      </c>
      <c r="BE102" s="221"/>
      <c r="BF102" s="221"/>
      <c r="BG102" s="221">
        <v>1000</v>
      </c>
      <c r="BH102" s="221"/>
      <c r="BI102" s="221"/>
      <c r="BJ102" s="223"/>
      <c r="BK102" s="224"/>
      <c r="BL102" s="97"/>
      <c r="BO102" s="29"/>
      <c r="BP102" s="228"/>
      <c r="BQ102" s="228"/>
      <c r="BR102" s="228"/>
      <c r="BS102" s="228"/>
      <c r="BT102" s="231"/>
      <c r="BU102" s="231"/>
      <c r="BV102" s="231"/>
      <c r="BW102" s="87"/>
      <c r="BX102" s="231"/>
      <c r="BY102" s="231"/>
      <c r="BZ102" s="231"/>
      <c r="CA102" s="231"/>
      <c r="CB102" s="231"/>
      <c r="CC102" s="231"/>
      <c r="CD102" s="234"/>
      <c r="CE102" s="232"/>
      <c r="CF102" s="97"/>
    </row>
    <row r="103" ht="17.6" spans="1:84">
      <c r="A103" s="171" t="s">
        <v>144</v>
      </c>
      <c r="B103" s="171"/>
      <c r="D103" s="176" t="s">
        <v>145</v>
      </c>
      <c r="E103" s="19"/>
      <c r="F103" s="19"/>
      <c r="G103" s="19"/>
      <c r="H103" s="19"/>
      <c r="I103" s="19"/>
      <c r="J103" s="186"/>
      <c r="K103" s="187">
        <v>50</v>
      </c>
      <c r="L103" s="187"/>
      <c r="M103" s="107"/>
      <c r="N103" s="19" t="s">
        <v>146</v>
      </c>
      <c r="O103" s="16"/>
      <c r="P103" s="16"/>
      <c r="Q103" s="16"/>
      <c r="R103" s="16"/>
      <c r="S103" s="107">
        <v>80</v>
      </c>
      <c r="T103" s="107"/>
      <c r="U103" s="107"/>
      <c r="V103" s="193"/>
      <c r="Z103" s="172"/>
      <c r="AA103" s="106"/>
      <c r="AB103" s="106"/>
      <c r="AC103" s="106"/>
      <c r="AD103" s="106"/>
      <c r="AE103" s="106"/>
      <c r="AF103" s="106"/>
      <c r="AG103" s="106"/>
      <c r="AH103" s="106"/>
      <c r="AI103" s="106"/>
      <c r="AJ103" s="106"/>
      <c r="AK103" s="106"/>
      <c r="AL103" s="106"/>
      <c r="AM103" s="106"/>
      <c r="AN103" s="106"/>
      <c r="AO103" s="106"/>
      <c r="AP103" s="106"/>
      <c r="AQ103" s="106"/>
      <c r="AR103" s="97"/>
      <c r="AU103" s="29"/>
      <c r="AV103" s="16"/>
      <c r="AW103" s="16"/>
      <c r="AX103" s="16"/>
      <c r="AY103" s="16"/>
      <c r="AZ103" s="221" t="s">
        <v>135</v>
      </c>
      <c r="BA103" s="221"/>
      <c r="BB103" s="221"/>
      <c r="BC103" s="222"/>
      <c r="BD103" s="221">
        <v>6000</v>
      </c>
      <c r="BE103" s="221"/>
      <c r="BF103" s="221"/>
      <c r="BG103" s="221">
        <v>1000</v>
      </c>
      <c r="BH103" s="221"/>
      <c r="BI103" s="221"/>
      <c r="BJ103" s="223"/>
      <c r="BK103" s="222"/>
      <c r="BL103" s="97"/>
      <c r="BO103" s="29"/>
      <c r="BP103" s="228"/>
      <c r="BQ103" s="228"/>
      <c r="BR103" s="228"/>
      <c r="BS103" s="228"/>
      <c r="BT103" s="231"/>
      <c r="BU103" s="231"/>
      <c r="BV103" s="231"/>
      <c r="BW103" s="87"/>
      <c r="BX103" s="231"/>
      <c r="BY103" s="231"/>
      <c r="BZ103" s="231"/>
      <c r="CA103" s="231"/>
      <c r="CB103" s="231"/>
      <c r="CC103" s="231"/>
      <c r="CD103" s="234"/>
      <c r="CE103" s="87"/>
      <c r="CF103" s="97"/>
    </row>
    <row r="104" ht="17.55" spans="1:84">
      <c r="A104" s="171"/>
      <c r="B104" s="171"/>
      <c r="D104" s="176"/>
      <c r="E104" s="19"/>
      <c r="F104" s="19"/>
      <c r="G104" s="19"/>
      <c r="H104" s="19"/>
      <c r="I104" s="19"/>
      <c r="J104" s="186"/>
      <c r="K104" s="187"/>
      <c r="L104" s="187"/>
      <c r="M104" s="107"/>
      <c r="N104" s="16"/>
      <c r="O104" s="16"/>
      <c r="P104" s="16"/>
      <c r="Q104" s="16"/>
      <c r="R104" s="16"/>
      <c r="S104" s="107"/>
      <c r="T104" s="107"/>
      <c r="U104" s="107"/>
      <c r="V104" s="193"/>
      <c r="Z104" s="205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  <c r="AN104" s="184"/>
      <c r="AO104" s="184"/>
      <c r="AP104" s="184"/>
      <c r="AQ104" s="184"/>
      <c r="AR104" s="218"/>
      <c r="AU104" s="29"/>
      <c r="BL104" s="97"/>
      <c r="BO104" s="29"/>
      <c r="BP104" s="46"/>
      <c r="BQ104" s="46"/>
      <c r="BR104" s="46"/>
      <c r="BS104" s="46"/>
      <c r="BT104" s="46"/>
      <c r="BU104" s="46"/>
      <c r="BV104" s="46"/>
      <c r="BW104" s="46"/>
      <c r="BX104" s="46"/>
      <c r="BY104" s="46"/>
      <c r="BZ104" s="46"/>
      <c r="CA104" s="46"/>
      <c r="CB104" s="46"/>
      <c r="CC104" s="46"/>
      <c r="CD104" s="46"/>
      <c r="CE104" s="46"/>
      <c r="CF104" s="97"/>
    </row>
    <row r="105" ht="20.4" spans="1:84">
      <c r="A105" s="171"/>
      <c r="B105" s="171"/>
      <c r="D105" s="29"/>
      <c r="H105" s="27"/>
      <c r="I105" s="27"/>
      <c r="J105" s="66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97"/>
      <c r="AU105" s="29"/>
      <c r="AV105" s="219" t="s">
        <v>147</v>
      </c>
      <c r="AW105" s="219"/>
      <c r="AX105" s="219"/>
      <c r="AY105" s="219"/>
      <c r="AZ105" s="219"/>
      <c r="BA105" s="219"/>
      <c r="BB105" s="219"/>
      <c r="BC105" s="219"/>
      <c r="BD105" s="219"/>
      <c r="BE105" s="93"/>
      <c r="BF105" s="93"/>
      <c r="BG105" s="93"/>
      <c r="BH105" s="93"/>
      <c r="BI105" s="93"/>
      <c r="BJ105" s="93"/>
      <c r="BK105" s="224"/>
      <c r="BL105" s="97"/>
      <c r="BO105" s="29"/>
      <c r="BP105" s="229"/>
      <c r="BQ105" s="229"/>
      <c r="BR105" s="229"/>
      <c r="BS105" s="229"/>
      <c r="BT105" s="229"/>
      <c r="BU105" s="229"/>
      <c r="BV105" s="229"/>
      <c r="BW105" s="229"/>
      <c r="BX105" s="229"/>
      <c r="BY105" s="229"/>
      <c r="BZ105" s="229"/>
      <c r="CA105" s="229"/>
      <c r="CB105" s="229"/>
      <c r="CC105" s="229"/>
      <c r="CD105" s="229"/>
      <c r="CE105" s="232"/>
      <c r="CF105" s="97"/>
    </row>
    <row r="106" ht="18" customHeight="1" spans="1:84">
      <c r="A106" s="171"/>
      <c r="B106" s="171"/>
      <c r="D106" s="176" t="s">
        <v>148</v>
      </c>
      <c r="E106" s="19"/>
      <c r="F106" s="19"/>
      <c r="G106" s="19"/>
      <c r="H106" s="19"/>
      <c r="I106" s="19"/>
      <c r="J106" s="186"/>
      <c r="K106" s="187">
        <v>60</v>
      </c>
      <c r="L106" s="187"/>
      <c r="N106" s="19" t="s">
        <v>149</v>
      </c>
      <c r="O106" s="16"/>
      <c r="P106" s="16"/>
      <c r="Q106" s="16"/>
      <c r="R106" s="16"/>
      <c r="S106" s="107">
        <v>30</v>
      </c>
      <c r="T106" s="107"/>
      <c r="U106" s="107"/>
      <c r="V106" s="193"/>
      <c r="AU106" s="29"/>
      <c r="AV106" s="16" t="s">
        <v>109</v>
      </c>
      <c r="AW106" s="16"/>
      <c r="AX106" s="16"/>
      <c r="AY106" s="16"/>
      <c r="AZ106" s="221" t="s">
        <v>139</v>
      </c>
      <c r="BA106" s="221"/>
      <c r="BB106" s="221"/>
      <c r="BC106" s="222"/>
      <c r="BD106" s="221">
        <v>18000</v>
      </c>
      <c r="BE106" s="221"/>
      <c r="BF106" s="221"/>
      <c r="BG106" s="221">
        <v>2000</v>
      </c>
      <c r="BH106" s="221"/>
      <c r="BI106" s="221"/>
      <c r="BJ106" s="223"/>
      <c r="BK106" s="225"/>
      <c r="BL106" s="97"/>
      <c r="BO106" s="29"/>
      <c r="BP106" s="228"/>
      <c r="BQ106" s="228"/>
      <c r="BR106" s="228"/>
      <c r="BS106" s="228"/>
      <c r="BT106" s="231"/>
      <c r="BU106" s="231"/>
      <c r="BV106" s="231"/>
      <c r="BW106" s="87"/>
      <c r="BX106" s="231"/>
      <c r="BY106" s="231"/>
      <c r="BZ106" s="231"/>
      <c r="CA106" s="231"/>
      <c r="CB106" s="231"/>
      <c r="CC106" s="231"/>
      <c r="CD106" s="234"/>
      <c r="CE106" s="233"/>
      <c r="CF106" s="97"/>
    </row>
    <row r="107" ht="17.6" spans="1:85">
      <c r="A107" s="177"/>
      <c r="B107" s="177"/>
      <c r="D107" s="176"/>
      <c r="E107" s="19"/>
      <c r="F107" s="19"/>
      <c r="G107" s="19"/>
      <c r="H107" s="19"/>
      <c r="I107" s="19"/>
      <c r="J107" s="186"/>
      <c r="K107" s="187"/>
      <c r="L107" s="187"/>
      <c r="N107" s="16"/>
      <c r="O107" s="16"/>
      <c r="P107" s="16"/>
      <c r="Q107" s="16"/>
      <c r="R107" s="16"/>
      <c r="S107" s="107"/>
      <c r="T107" s="107"/>
      <c r="U107" s="107"/>
      <c r="V107" s="193"/>
      <c r="AU107" s="29"/>
      <c r="AV107" s="16"/>
      <c r="AW107" s="16"/>
      <c r="AX107" s="16"/>
      <c r="AY107" s="16"/>
      <c r="AZ107" s="221" t="s">
        <v>140</v>
      </c>
      <c r="BA107" s="221"/>
      <c r="BB107" s="221"/>
      <c r="BC107" s="222"/>
      <c r="BD107" s="221">
        <v>30000</v>
      </c>
      <c r="BE107" s="221"/>
      <c r="BF107" s="221"/>
      <c r="BG107" s="221">
        <v>3000</v>
      </c>
      <c r="BH107" s="221"/>
      <c r="BI107" s="221"/>
      <c r="BJ107" s="223"/>
      <c r="BK107" s="222"/>
      <c r="BL107" s="97"/>
      <c r="BM107" s="25" t="s">
        <v>130</v>
      </c>
      <c r="BO107" s="29"/>
      <c r="BP107" s="228"/>
      <c r="BQ107" s="228"/>
      <c r="BR107" s="228"/>
      <c r="BS107" s="228"/>
      <c r="BT107" s="231"/>
      <c r="BU107" s="231"/>
      <c r="BV107" s="231"/>
      <c r="BW107" s="87"/>
      <c r="BX107" s="231"/>
      <c r="BY107" s="231"/>
      <c r="BZ107" s="231"/>
      <c r="CA107" s="231"/>
      <c r="CB107" s="231"/>
      <c r="CC107" s="231"/>
      <c r="CD107" s="234"/>
      <c r="CE107" s="87"/>
      <c r="CF107" s="97"/>
      <c r="CG107" s="25" t="s">
        <v>130</v>
      </c>
    </row>
    <row r="108" ht="17.6" spans="1:84">
      <c r="A108" s="177" t="s">
        <v>150</v>
      </c>
      <c r="B108" s="177" t="s">
        <v>151</v>
      </c>
      <c r="D108" s="29"/>
      <c r="J108" s="34"/>
      <c r="V108" s="97"/>
      <c r="AU108" s="29"/>
      <c r="AV108" s="16"/>
      <c r="AW108" s="16"/>
      <c r="AX108" s="16"/>
      <c r="AY108" s="16"/>
      <c r="AZ108" s="221" t="s">
        <v>142</v>
      </c>
      <c r="BA108" s="221"/>
      <c r="BB108" s="221"/>
      <c r="BC108" s="222"/>
      <c r="BD108" s="221">
        <v>25000</v>
      </c>
      <c r="BE108" s="221"/>
      <c r="BF108" s="221"/>
      <c r="BG108" s="221">
        <v>5000</v>
      </c>
      <c r="BH108" s="221"/>
      <c r="BI108" s="221"/>
      <c r="BJ108" s="223"/>
      <c r="BK108" s="225" t="s">
        <v>36</v>
      </c>
      <c r="BL108" s="97"/>
      <c r="BO108" s="29"/>
      <c r="BP108" s="228"/>
      <c r="BQ108" s="228"/>
      <c r="BR108" s="228"/>
      <c r="BS108" s="228"/>
      <c r="BT108" s="231"/>
      <c r="BU108" s="231"/>
      <c r="BV108" s="231"/>
      <c r="BW108" s="87"/>
      <c r="BX108" s="231"/>
      <c r="BY108" s="231"/>
      <c r="BZ108" s="231"/>
      <c r="CA108" s="231"/>
      <c r="CB108" s="231"/>
      <c r="CC108" s="231"/>
      <c r="CD108" s="234"/>
      <c r="CE108" s="233"/>
      <c r="CF108" s="97"/>
    </row>
    <row r="109" ht="20.4" spans="1:84">
      <c r="A109" s="177"/>
      <c r="B109" s="177"/>
      <c r="D109" s="178" t="s">
        <v>152</v>
      </c>
      <c r="E109" s="16"/>
      <c r="F109" s="16"/>
      <c r="G109" s="16"/>
      <c r="H109" s="16"/>
      <c r="I109" s="16"/>
      <c r="J109" s="66"/>
      <c r="K109" s="27">
        <v>100</v>
      </c>
      <c r="L109" s="27"/>
      <c r="N109" s="16" t="s">
        <v>153</v>
      </c>
      <c r="O109" s="16"/>
      <c r="P109" s="16"/>
      <c r="Q109" s="16"/>
      <c r="R109" s="16"/>
      <c r="S109" s="107">
        <v>10</v>
      </c>
      <c r="T109" s="107"/>
      <c r="U109" s="107"/>
      <c r="V109" s="193"/>
      <c r="AU109" s="29"/>
      <c r="AV109" s="16"/>
      <c r="AW109" s="16"/>
      <c r="AX109" s="16"/>
      <c r="AY109" s="16"/>
      <c r="AZ109" s="221" t="s">
        <v>143</v>
      </c>
      <c r="BA109" s="221"/>
      <c r="BB109" s="221"/>
      <c r="BC109" s="222"/>
      <c r="BD109" s="221">
        <v>3000</v>
      </c>
      <c r="BE109" s="221"/>
      <c r="BF109" s="221"/>
      <c r="BG109" s="221">
        <v>1000</v>
      </c>
      <c r="BH109" s="221"/>
      <c r="BI109" s="221"/>
      <c r="BJ109" s="223"/>
      <c r="BK109" s="224"/>
      <c r="BL109" s="97"/>
      <c r="BO109" s="29"/>
      <c r="BP109" s="228"/>
      <c r="BQ109" s="228"/>
      <c r="BR109" s="228"/>
      <c r="BS109" s="228"/>
      <c r="BT109" s="231"/>
      <c r="BU109" s="231"/>
      <c r="BV109" s="231"/>
      <c r="BW109" s="87"/>
      <c r="BX109" s="231"/>
      <c r="BY109" s="231"/>
      <c r="BZ109" s="231"/>
      <c r="CA109" s="231"/>
      <c r="CB109" s="231"/>
      <c r="CC109" s="231"/>
      <c r="CD109" s="234"/>
      <c r="CE109" s="232"/>
      <c r="CF109" s="97"/>
    </row>
    <row r="110" ht="17.6" spans="1:84">
      <c r="A110" s="177"/>
      <c r="B110" s="177"/>
      <c r="D110" s="178"/>
      <c r="E110" s="16"/>
      <c r="F110" s="16"/>
      <c r="G110" s="16"/>
      <c r="H110" s="16"/>
      <c r="I110" s="16"/>
      <c r="J110" s="66"/>
      <c r="K110" s="27"/>
      <c r="L110" s="27"/>
      <c r="N110" s="16"/>
      <c r="O110" s="16"/>
      <c r="P110" s="16"/>
      <c r="Q110" s="16"/>
      <c r="R110" s="16"/>
      <c r="S110" s="107"/>
      <c r="T110" s="107"/>
      <c r="U110" s="107"/>
      <c r="V110" s="193"/>
      <c r="AU110" s="29"/>
      <c r="AV110" s="16"/>
      <c r="AW110" s="16"/>
      <c r="AX110" s="16"/>
      <c r="AY110" s="16"/>
      <c r="AZ110" s="221" t="s">
        <v>135</v>
      </c>
      <c r="BA110" s="221"/>
      <c r="BB110" s="221"/>
      <c r="BC110" s="222"/>
      <c r="BD110" s="221">
        <v>6000</v>
      </c>
      <c r="BE110" s="221"/>
      <c r="BF110" s="221"/>
      <c r="BG110" s="221">
        <v>1000</v>
      </c>
      <c r="BH110" s="221"/>
      <c r="BI110" s="221"/>
      <c r="BJ110" s="223"/>
      <c r="BK110" s="222"/>
      <c r="BL110" s="97"/>
      <c r="BO110" s="29"/>
      <c r="BP110" s="228"/>
      <c r="BQ110" s="228"/>
      <c r="BR110" s="228"/>
      <c r="BS110" s="228"/>
      <c r="BT110" s="231"/>
      <c r="BU110" s="231"/>
      <c r="BV110" s="231"/>
      <c r="BW110" s="87"/>
      <c r="BX110" s="231"/>
      <c r="BY110" s="231"/>
      <c r="BZ110" s="231"/>
      <c r="CA110" s="231"/>
      <c r="CB110" s="231"/>
      <c r="CC110" s="231"/>
      <c r="CD110" s="234"/>
      <c r="CE110" s="87"/>
      <c r="CF110" s="97"/>
    </row>
    <row r="111" spans="1:84">
      <c r="A111" s="177"/>
      <c r="B111" s="177"/>
      <c r="D111" s="29"/>
      <c r="J111" s="34"/>
      <c r="V111" s="97"/>
      <c r="AU111" s="29"/>
      <c r="BL111" s="97"/>
      <c r="BO111" s="29"/>
      <c r="BP111" s="46"/>
      <c r="BQ111" s="46"/>
      <c r="BR111" s="46"/>
      <c r="BS111" s="46"/>
      <c r="BT111" s="46"/>
      <c r="BU111" s="46"/>
      <c r="BV111" s="46"/>
      <c r="BW111" s="46"/>
      <c r="BX111" s="46"/>
      <c r="BY111" s="46"/>
      <c r="BZ111" s="46"/>
      <c r="CA111" s="46"/>
      <c r="CB111" s="46"/>
      <c r="CC111" s="46"/>
      <c r="CD111" s="46"/>
      <c r="CE111" s="46"/>
      <c r="CF111" s="97"/>
    </row>
    <row r="112" ht="17.55" spans="4:84">
      <c r="D112" s="178" t="s">
        <v>154</v>
      </c>
      <c r="E112" s="16"/>
      <c r="F112" s="16"/>
      <c r="G112" s="16"/>
      <c r="H112" s="16"/>
      <c r="I112" s="16"/>
      <c r="J112" s="34"/>
      <c r="K112" s="25">
        <v>150</v>
      </c>
      <c r="N112" s="16" t="s">
        <v>153</v>
      </c>
      <c r="O112" s="16"/>
      <c r="P112" s="16"/>
      <c r="Q112" s="16"/>
      <c r="R112" s="16"/>
      <c r="S112" s="107">
        <v>20</v>
      </c>
      <c r="T112" s="107"/>
      <c r="U112" s="107"/>
      <c r="V112" s="193"/>
      <c r="AU112" s="220"/>
      <c r="AV112" s="185"/>
      <c r="AW112" s="185"/>
      <c r="AX112" s="185"/>
      <c r="AY112" s="185"/>
      <c r="AZ112" s="185"/>
      <c r="BA112" s="185"/>
      <c r="BB112" s="185"/>
      <c r="BC112" s="185"/>
      <c r="BD112" s="185"/>
      <c r="BE112" s="185"/>
      <c r="BF112" s="185"/>
      <c r="BG112" s="185"/>
      <c r="BH112" s="185"/>
      <c r="BI112" s="185"/>
      <c r="BJ112" s="185"/>
      <c r="BK112" s="185"/>
      <c r="BL112" s="226"/>
      <c r="BO112" s="220"/>
      <c r="BP112" s="185"/>
      <c r="BQ112" s="185"/>
      <c r="BR112" s="185"/>
      <c r="BS112" s="185"/>
      <c r="BT112" s="185"/>
      <c r="BU112" s="185"/>
      <c r="BV112" s="185"/>
      <c r="BW112" s="185"/>
      <c r="BX112" s="185"/>
      <c r="BY112" s="185"/>
      <c r="BZ112" s="185"/>
      <c r="CA112" s="185"/>
      <c r="CB112" s="185"/>
      <c r="CC112" s="185"/>
      <c r="CD112" s="185"/>
      <c r="CE112" s="185"/>
      <c r="CF112" s="226"/>
    </row>
    <row r="113" ht="16" customHeight="1" spans="4:22">
      <c r="D113" s="178"/>
      <c r="E113" s="16"/>
      <c r="F113" s="16"/>
      <c r="G113" s="16"/>
      <c r="H113" s="16"/>
      <c r="I113" s="16"/>
      <c r="J113" s="34"/>
      <c r="N113" s="16"/>
      <c r="O113" s="16"/>
      <c r="P113" s="16"/>
      <c r="Q113" s="16"/>
      <c r="R113" s="16"/>
      <c r="S113" s="107"/>
      <c r="T113" s="107"/>
      <c r="U113" s="107"/>
      <c r="V113" s="193"/>
    </row>
    <row r="114" ht="16" customHeight="1" spans="4:22">
      <c r="D114" s="29"/>
      <c r="J114" s="34"/>
      <c r="V114" s="97"/>
    </row>
    <row r="115" spans="4:22">
      <c r="D115" s="178" t="s">
        <v>155</v>
      </c>
      <c r="E115" s="16"/>
      <c r="F115" s="16"/>
      <c r="G115" s="16"/>
      <c r="H115" s="16"/>
      <c r="I115" s="16"/>
      <c r="J115" s="34"/>
      <c r="K115" s="25">
        <v>200</v>
      </c>
      <c r="N115" s="16" t="s">
        <v>153</v>
      </c>
      <c r="O115" s="16"/>
      <c r="P115" s="16"/>
      <c r="Q115" s="16"/>
      <c r="R115" s="16"/>
      <c r="S115" s="107">
        <v>5</v>
      </c>
      <c r="T115" s="107"/>
      <c r="U115" s="107"/>
      <c r="V115" s="193"/>
    </row>
    <row r="116" spans="4:22">
      <c r="D116" s="178"/>
      <c r="E116" s="16"/>
      <c r="F116" s="16"/>
      <c r="G116" s="16"/>
      <c r="H116" s="16"/>
      <c r="I116" s="16"/>
      <c r="J116" s="34"/>
      <c r="N116" s="16"/>
      <c r="O116" s="16"/>
      <c r="P116" s="16"/>
      <c r="Q116" s="16"/>
      <c r="R116" s="16"/>
      <c r="S116" s="107"/>
      <c r="T116" s="107"/>
      <c r="U116" s="107"/>
      <c r="V116" s="193"/>
    </row>
    <row r="117" spans="4:22">
      <c r="D117" s="29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97"/>
    </row>
    <row r="118" spans="4:22">
      <c r="D118" s="29"/>
      <c r="E118" s="183"/>
      <c r="F118" s="183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34"/>
      <c r="U118" s="34"/>
      <c r="V118" s="97"/>
    </row>
    <row r="119" spans="4:22">
      <c r="D119" s="29"/>
      <c r="E119" s="179" t="s">
        <v>156</v>
      </c>
      <c r="F119" s="179"/>
      <c r="G119" s="179"/>
      <c r="H119" s="179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97"/>
    </row>
    <row r="120" spans="4:22">
      <c r="D120" s="29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97"/>
    </row>
    <row r="121" spans="4:22">
      <c r="D121" s="176" t="s">
        <v>157</v>
      </c>
      <c r="E121" s="19"/>
      <c r="F121" s="19"/>
      <c r="G121" s="19"/>
      <c r="H121" s="19"/>
      <c r="I121" s="19"/>
      <c r="J121" s="187">
        <v>50</v>
      </c>
      <c r="K121" s="187"/>
      <c r="L121" s="187"/>
      <c r="M121" s="189"/>
      <c r="N121" s="19" t="s">
        <v>158</v>
      </c>
      <c r="O121" s="16"/>
      <c r="P121" s="16"/>
      <c r="Q121" s="16"/>
      <c r="R121" s="16"/>
      <c r="S121" s="192">
        <f>J121*500</f>
        <v>25000</v>
      </c>
      <c r="T121" s="192"/>
      <c r="U121" s="192"/>
      <c r="V121" s="194"/>
    </row>
    <row r="122" spans="4:22">
      <c r="D122" s="176"/>
      <c r="E122" s="19"/>
      <c r="F122" s="19"/>
      <c r="G122" s="19"/>
      <c r="H122" s="19"/>
      <c r="I122" s="19"/>
      <c r="J122" s="187"/>
      <c r="K122" s="187"/>
      <c r="L122" s="187"/>
      <c r="M122" s="189"/>
      <c r="N122" s="16"/>
      <c r="O122" s="16"/>
      <c r="P122" s="16"/>
      <c r="Q122" s="16"/>
      <c r="R122" s="16"/>
      <c r="S122" s="192"/>
      <c r="T122" s="192"/>
      <c r="U122" s="192"/>
      <c r="V122" s="194"/>
    </row>
    <row r="123" spans="1:22">
      <c r="A123" s="173" t="s">
        <v>116</v>
      </c>
      <c r="B123" s="174"/>
      <c r="D123" s="29"/>
      <c r="H123" s="27"/>
      <c r="I123" s="27"/>
      <c r="J123" s="66"/>
      <c r="K123" s="27"/>
      <c r="L123" s="27"/>
      <c r="M123" s="190"/>
      <c r="N123" s="27"/>
      <c r="O123" s="27"/>
      <c r="P123" s="27"/>
      <c r="Q123" s="27"/>
      <c r="R123" s="27"/>
      <c r="S123" s="27"/>
      <c r="T123" s="27"/>
      <c r="U123" s="27"/>
      <c r="V123" s="97"/>
    </row>
    <row r="124" spans="1:22">
      <c r="A124" s="174"/>
      <c r="B124" s="174"/>
      <c r="D124" s="176" t="s">
        <v>159</v>
      </c>
      <c r="E124" s="19"/>
      <c r="F124" s="19"/>
      <c r="G124" s="19"/>
      <c r="H124" s="19"/>
      <c r="I124" s="19"/>
      <c r="J124" s="187">
        <v>20</v>
      </c>
      <c r="K124" s="187"/>
      <c r="L124" s="187"/>
      <c r="M124" s="191"/>
      <c r="N124" s="19" t="s">
        <v>158</v>
      </c>
      <c r="O124" s="16"/>
      <c r="P124" s="16"/>
      <c r="Q124" s="16"/>
      <c r="R124" s="16"/>
      <c r="S124" s="192">
        <f>J124*2500</f>
        <v>50000</v>
      </c>
      <c r="T124" s="192"/>
      <c r="U124" s="192"/>
      <c r="V124" s="194"/>
    </row>
    <row r="125" spans="1:22">
      <c r="A125" s="174"/>
      <c r="B125" s="174"/>
      <c r="D125" s="176"/>
      <c r="E125" s="19"/>
      <c r="F125" s="19"/>
      <c r="G125" s="19"/>
      <c r="H125" s="19"/>
      <c r="I125" s="19"/>
      <c r="J125" s="187"/>
      <c r="K125" s="187"/>
      <c r="L125" s="187"/>
      <c r="M125" s="191"/>
      <c r="N125" s="16"/>
      <c r="O125" s="16"/>
      <c r="P125" s="16"/>
      <c r="Q125" s="16"/>
      <c r="R125" s="16"/>
      <c r="S125" s="192"/>
      <c r="T125" s="192"/>
      <c r="U125" s="192"/>
      <c r="V125" s="194"/>
    </row>
    <row r="126" spans="1:22">
      <c r="A126" s="174"/>
      <c r="B126" s="174"/>
      <c r="D126" s="29"/>
      <c r="J126" s="34"/>
      <c r="M126" s="191"/>
      <c r="V126" s="97"/>
    </row>
    <row r="127" spans="1:22">
      <c r="A127" s="174"/>
      <c r="B127" s="174"/>
      <c r="D127" s="176" t="s">
        <v>160</v>
      </c>
      <c r="E127" s="19"/>
      <c r="F127" s="19"/>
      <c r="G127" s="19"/>
      <c r="H127" s="19"/>
      <c r="I127" s="19"/>
      <c r="J127" s="27">
        <v>5</v>
      </c>
      <c r="K127" s="27"/>
      <c r="L127" s="27"/>
      <c r="M127" s="191"/>
      <c r="N127" s="19" t="s">
        <v>158</v>
      </c>
      <c r="O127" s="16"/>
      <c r="P127" s="16"/>
      <c r="Q127" s="16"/>
      <c r="R127" s="16"/>
      <c r="S127" s="192">
        <f>J127*15000</f>
        <v>75000</v>
      </c>
      <c r="T127" s="192"/>
      <c r="U127" s="192"/>
      <c r="V127" s="194"/>
    </row>
    <row r="128" spans="1:22">
      <c r="A128" s="174"/>
      <c r="B128" s="174"/>
      <c r="D128" s="176"/>
      <c r="E128" s="19"/>
      <c r="F128" s="19"/>
      <c r="G128" s="19"/>
      <c r="H128" s="19"/>
      <c r="I128" s="19"/>
      <c r="J128" s="27"/>
      <c r="K128" s="27"/>
      <c r="L128" s="27"/>
      <c r="M128" s="191"/>
      <c r="N128" s="16"/>
      <c r="O128" s="16"/>
      <c r="P128" s="16"/>
      <c r="Q128" s="16"/>
      <c r="R128" s="16"/>
      <c r="S128" s="192"/>
      <c r="T128" s="192"/>
      <c r="U128" s="192"/>
      <c r="V128" s="194"/>
    </row>
    <row r="129" spans="1:22">
      <c r="A129" s="174"/>
      <c r="B129" s="174"/>
      <c r="D129" s="29"/>
      <c r="J129" s="34"/>
      <c r="M129" s="191"/>
      <c r="V129" s="97"/>
    </row>
    <row r="130" spans="1:22">
      <c r="A130" s="174"/>
      <c r="B130" s="174"/>
      <c r="D130" s="176" t="s">
        <v>161</v>
      </c>
      <c r="E130" s="19"/>
      <c r="F130" s="19"/>
      <c r="G130" s="19"/>
      <c r="H130" s="19"/>
      <c r="I130" s="19"/>
      <c r="J130" s="25">
        <v>1</v>
      </c>
      <c r="M130" s="191"/>
      <c r="N130" s="19" t="s">
        <v>158</v>
      </c>
      <c r="O130" s="16"/>
      <c r="P130" s="16"/>
      <c r="Q130" s="16"/>
      <c r="R130" s="16"/>
      <c r="S130" s="192">
        <v>35000</v>
      </c>
      <c r="T130" s="192"/>
      <c r="U130" s="192"/>
      <c r="V130" s="194"/>
    </row>
    <row r="131" spans="1:22">
      <c r="A131" s="174"/>
      <c r="B131" s="174"/>
      <c r="D131" s="176"/>
      <c r="E131" s="19"/>
      <c r="F131" s="19"/>
      <c r="G131" s="19"/>
      <c r="H131" s="19"/>
      <c r="I131" s="19"/>
      <c r="M131" s="191"/>
      <c r="N131" s="16"/>
      <c r="O131" s="16"/>
      <c r="P131" s="16"/>
      <c r="Q131" s="16"/>
      <c r="R131" s="16"/>
      <c r="S131" s="192"/>
      <c r="T131" s="192"/>
      <c r="U131" s="192"/>
      <c r="V131" s="194"/>
    </row>
    <row r="132" spans="4:22">
      <c r="D132" s="29"/>
      <c r="J132" s="34"/>
      <c r="M132" s="191"/>
      <c r="V132" s="97"/>
    </row>
    <row r="133" spans="4:22">
      <c r="D133" s="176" t="s">
        <v>162</v>
      </c>
      <c r="E133" s="19"/>
      <c r="F133" s="19"/>
      <c r="G133" s="19"/>
      <c r="H133" s="19"/>
      <c r="I133" s="19"/>
      <c r="J133" s="25">
        <v>0</v>
      </c>
      <c r="M133" s="191"/>
      <c r="N133" s="19" t="s">
        <v>158</v>
      </c>
      <c r="O133" s="16"/>
      <c r="P133" s="16"/>
      <c r="Q133" s="16"/>
      <c r="R133" s="16"/>
      <c r="S133" s="192">
        <v>0</v>
      </c>
      <c r="T133" s="192"/>
      <c r="U133" s="192"/>
      <c r="V133" s="194"/>
    </row>
    <row r="134" spans="4:22">
      <c r="D134" s="176"/>
      <c r="E134" s="19"/>
      <c r="F134" s="19"/>
      <c r="G134" s="19"/>
      <c r="H134" s="19"/>
      <c r="I134" s="19"/>
      <c r="M134" s="191"/>
      <c r="N134" s="16"/>
      <c r="O134" s="16"/>
      <c r="P134" s="16"/>
      <c r="Q134" s="16"/>
      <c r="R134" s="16"/>
      <c r="S134" s="192"/>
      <c r="T134" s="192"/>
      <c r="U134" s="192"/>
      <c r="V134" s="194"/>
    </row>
    <row r="135" spans="4:22">
      <c r="D135" s="29"/>
      <c r="M135" s="191"/>
      <c r="V135" s="97"/>
    </row>
    <row r="136" spans="4:22">
      <c r="D136" s="176" t="s">
        <v>163</v>
      </c>
      <c r="E136" s="19"/>
      <c r="F136" s="19"/>
      <c r="G136" s="19"/>
      <c r="H136" s="19"/>
      <c r="I136" s="19"/>
      <c r="J136" s="25">
        <v>0</v>
      </c>
      <c r="M136" s="191"/>
      <c r="N136" s="19" t="s">
        <v>158</v>
      </c>
      <c r="O136" s="16"/>
      <c r="P136" s="16"/>
      <c r="Q136" s="16"/>
      <c r="R136" s="16"/>
      <c r="S136" s="192">
        <v>0</v>
      </c>
      <c r="T136" s="192"/>
      <c r="U136" s="192"/>
      <c r="V136" s="194"/>
    </row>
    <row r="137" spans="4:22">
      <c r="D137" s="176"/>
      <c r="E137" s="19"/>
      <c r="F137" s="19"/>
      <c r="G137" s="19"/>
      <c r="H137" s="19"/>
      <c r="I137" s="19"/>
      <c r="M137" s="191"/>
      <c r="N137" s="16"/>
      <c r="O137" s="16"/>
      <c r="P137" s="16"/>
      <c r="Q137" s="16"/>
      <c r="R137" s="16"/>
      <c r="S137" s="192"/>
      <c r="T137" s="192"/>
      <c r="U137" s="192"/>
      <c r="V137" s="194"/>
    </row>
    <row r="138" spans="4:22">
      <c r="D138" s="29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97"/>
    </row>
    <row r="139" ht="16.5" customHeight="1" spans="4:22">
      <c r="D139" s="235" t="s">
        <v>164</v>
      </c>
      <c r="E139" s="237"/>
      <c r="F139" s="237"/>
      <c r="G139" s="237"/>
      <c r="H139" s="237"/>
      <c r="I139" s="237"/>
      <c r="J139" s="237"/>
      <c r="K139" s="237"/>
      <c r="L139" s="237"/>
      <c r="M139" s="237"/>
      <c r="N139" s="238">
        <f>(S121+S124+S127+S130+S133+S136)/76</f>
        <v>2434.21052631579</v>
      </c>
      <c r="O139" s="238"/>
      <c r="P139" s="238"/>
      <c r="Q139" s="238"/>
      <c r="R139" s="238"/>
      <c r="S139" s="237"/>
      <c r="T139" s="237"/>
      <c r="U139" s="237"/>
      <c r="V139" s="241"/>
    </row>
    <row r="140" ht="16.5" customHeight="1" spans="4:22">
      <c r="D140" s="235"/>
      <c r="E140" s="237"/>
      <c r="F140" s="237"/>
      <c r="G140" s="237"/>
      <c r="H140" s="237"/>
      <c r="I140" s="237"/>
      <c r="J140" s="237"/>
      <c r="K140" s="237"/>
      <c r="L140" s="237"/>
      <c r="M140" s="237"/>
      <c r="N140" s="238"/>
      <c r="O140" s="238"/>
      <c r="P140" s="238"/>
      <c r="Q140" s="238"/>
      <c r="R140" s="238"/>
      <c r="S140" s="237"/>
      <c r="T140" s="237"/>
      <c r="U140" s="237"/>
      <c r="V140" s="241"/>
    </row>
    <row r="141" spans="1:22">
      <c r="A141" s="173" t="s">
        <v>165</v>
      </c>
      <c r="B141" s="174"/>
      <c r="D141" s="29"/>
      <c r="E141" s="183"/>
      <c r="F141" s="183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34"/>
      <c r="U141" s="34"/>
      <c r="V141" s="97"/>
    </row>
    <row r="142" spans="1:22">
      <c r="A142" s="174"/>
      <c r="B142" s="174"/>
      <c r="D142" s="236" t="s">
        <v>166</v>
      </c>
      <c r="E142" s="180"/>
      <c r="F142" s="180"/>
      <c r="G142" s="180"/>
      <c r="H142" s="180"/>
      <c r="I142" s="180"/>
      <c r="V142" s="97"/>
    </row>
    <row r="143" spans="1:22">
      <c r="A143" s="174"/>
      <c r="B143" s="174"/>
      <c r="D143" s="29"/>
      <c r="V143" s="97"/>
    </row>
    <row r="144" spans="1:22">
      <c r="A144" s="174"/>
      <c r="B144" s="174"/>
      <c r="D144" s="176" t="s">
        <v>167</v>
      </c>
      <c r="E144" s="19"/>
      <c r="F144" s="19"/>
      <c r="G144" s="19"/>
      <c r="H144" s="19"/>
      <c r="I144" s="19"/>
      <c r="J144" s="25">
        <v>10</v>
      </c>
      <c r="M144" s="239" t="s">
        <v>168</v>
      </c>
      <c r="N144" s="19"/>
      <c r="O144" s="19"/>
      <c r="P144" s="19"/>
      <c r="Q144" s="19"/>
      <c r="R144" s="19"/>
      <c r="S144" s="25">
        <v>30000</v>
      </c>
      <c r="V144" s="97"/>
    </row>
    <row r="145" spans="1:22">
      <c r="A145" s="174"/>
      <c r="B145" s="174"/>
      <c r="D145" s="176"/>
      <c r="E145" s="19"/>
      <c r="F145" s="19"/>
      <c r="G145" s="19"/>
      <c r="H145" s="19"/>
      <c r="I145" s="19"/>
      <c r="M145" s="239"/>
      <c r="N145" s="19"/>
      <c r="O145" s="19"/>
      <c r="P145" s="19"/>
      <c r="Q145" s="19"/>
      <c r="R145" s="19"/>
      <c r="V145" s="97"/>
    </row>
    <row r="146" spans="1:22">
      <c r="A146" s="174"/>
      <c r="B146" s="174"/>
      <c r="D146" s="29"/>
      <c r="V146" s="97"/>
    </row>
    <row r="147" spans="1:22">
      <c r="A147" s="174"/>
      <c r="B147" s="174"/>
      <c r="D147" s="176" t="s">
        <v>169</v>
      </c>
      <c r="E147" s="19"/>
      <c r="F147" s="19"/>
      <c r="G147" s="19"/>
      <c r="H147" s="19"/>
      <c r="I147" s="19"/>
      <c r="J147" s="25">
        <f>S144/J144</f>
        <v>3000</v>
      </c>
      <c r="M147" s="239" t="s">
        <v>170</v>
      </c>
      <c r="N147" s="19"/>
      <c r="O147" s="19"/>
      <c r="P147" s="19"/>
      <c r="Q147" s="19"/>
      <c r="R147" s="19"/>
      <c r="S147" s="240">
        <f>J144/(H94+M94)</f>
        <v>0.125</v>
      </c>
      <c r="T147" s="240"/>
      <c r="U147" s="240"/>
      <c r="V147" s="242"/>
    </row>
    <row r="148" spans="1:22">
      <c r="A148" s="174"/>
      <c r="B148" s="174"/>
      <c r="D148" s="176"/>
      <c r="E148" s="19"/>
      <c r="F148" s="19"/>
      <c r="G148" s="19"/>
      <c r="H148" s="19"/>
      <c r="I148" s="19"/>
      <c r="M148" s="239"/>
      <c r="N148" s="19"/>
      <c r="O148" s="19"/>
      <c r="P148" s="19"/>
      <c r="Q148" s="19"/>
      <c r="R148" s="19"/>
      <c r="S148" s="240"/>
      <c r="T148" s="240"/>
      <c r="U148" s="240"/>
      <c r="V148" s="242"/>
    </row>
    <row r="149" ht="17.55" spans="1:22">
      <c r="A149" s="174"/>
      <c r="B149" s="174"/>
      <c r="D149" s="205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/>
      <c r="Q149" s="184"/>
      <c r="R149" s="184"/>
      <c r="S149" s="184"/>
      <c r="T149" s="184"/>
      <c r="U149" s="184"/>
      <c r="V149" s="218"/>
    </row>
  </sheetData>
  <sheetProtection formatCells="0" formatColumns="0" formatRows="0" insertRows="0" insertColumns="0" insertHyperlinks="0" deleteColumns="0" deleteRows="0" sort="0" autoFilter="0" pivotTables="0"/>
  <mergeCells count="431">
    <mergeCell ref="D2:V2"/>
    <mergeCell ref="E5:I5"/>
    <mergeCell ref="K5:L5"/>
    <mergeCell ref="O5:S5"/>
    <mergeCell ref="AA5:AB5"/>
    <mergeCell ref="AC5:AE5"/>
    <mergeCell ref="AG5:AH5"/>
    <mergeCell ref="AK5:AO5"/>
    <mergeCell ref="AX5:AY5"/>
    <mergeCell ref="AZ5:BB5"/>
    <mergeCell ref="BD5:BE5"/>
    <mergeCell ref="BH5:BL5"/>
    <mergeCell ref="E7:I7"/>
    <mergeCell ref="J7:K7"/>
    <mergeCell ref="AA7:AB7"/>
    <mergeCell ref="AD7:AE7"/>
    <mergeCell ref="AG7:AH7"/>
    <mergeCell ref="AK7:AO7"/>
    <mergeCell ref="AX7:AY7"/>
    <mergeCell ref="BA7:BB7"/>
    <mergeCell ref="BD7:BE7"/>
    <mergeCell ref="BH7:BL7"/>
    <mergeCell ref="Z17:AR17"/>
    <mergeCell ref="AW17:BO17"/>
    <mergeCell ref="Z18:AA18"/>
    <mergeCell ref="AB18:AF18"/>
    <mergeCell ref="AH18:AJ18"/>
    <mergeCell ref="AN18:AQ18"/>
    <mergeCell ref="AW18:AX18"/>
    <mergeCell ref="AY18:BC18"/>
    <mergeCell ref="BE18:BG18"/>
    <mergeCell ref="BK18:BN18"/>
    <mergeCell ref="AH21:AJ21"/>
    <mergeCell ref="AO21:AQ21"/>
    <mergeCell ref="BD21:BF21"/>
    <mergeCell ref="BI21:BK21"/>
    <mergeCell ref="BL21:BM21"/>
    <mergeCell ref="F24:H24"/>
    <mergeCell ref="J24:L24"/>
    <mergeCell ref="N24:P24"/>
    <mergeCell ref="R24:T24"/>
    <mergeCell ref="AH24:AJ24"/>
    <mergeCell ref="AO24:AQ24"/>
    <mergeCell ref="BD24:BF24"/>
    <mergeCell ref="BI24:BK24"/>
    <mergeCell ref="BL24:BM24"/>
    <mergeCell ref="AH27:AJ27"/>
    <mergeCell ref="AO27:AQ27"/>
    <mergeCell ref="BD27:BF27"/>
    <mergeCell ref="BI27:BK27"/>
    <mergeCell ref="BL27:BM27"/>
    <mergeCell ref="AH30:AJ30"/>
    <mergeCell ref="AO30:AQ30"/>
    <mergeCell ref="BD30:BH30"/>
    <mergeCell ref="BL30:BM30"/>
    <mergeCell ref="E32:T32"/>
    <mergeCell ref="AH33:AJ33"/>
    <mergeCell ref="AO33:AQ33"/>
    <mergeCell ref="BD33:BF33"/>
    <mergeCell ref="BL33:BM33"/>
    <mergeCell ref="E36:H36"/>
    <mergeCell ref="I36:K36"/>
    <mergeCell ref="M36:P36"/>
    <mergeCell ref="Q36:T36"/>
    <mergeCell ref="AH36:AJ36"/>
    <mergeCell ref="AO36:AQ36"/>
    <mergeCell ref="BD36:BF36"/>
    <mergeCell ref="BL36:BM36"/>
    <mergeCell ref="E37:H37"/>
    <mergeCell ref="I37:K37"/>
    <mergeCell ref="M37:P37"/>
    <mergeCell ref="Q37:T37"/>
    <mergeCell ref="E38:H38"/>
    <mergeCell ref="I38:K38"/>
    <mergeCell ref="M38:P38"/>
    <mergeCell ref="Q38:T38"/>
    <mergeCell ref="E39:H39"/>
    <mergeCell ref="I39:J39"/>
    <mergeCell ref="M39:P39"/>
    <mergeCell ref="Q39:R39"/>
    <mergeCell ref="E42:T42"/>
    <mergeCell ref="F46:H46"/>
    <mergeCell ref="J46:L46"/>
    <mergeCell ref="N46:P46"/>
    <mergeCell ref="R46:T46"/>
    <mergeCell ref="F52:H52"/>
    <mergeCell ref="J52:L52"/>
    <mergeCell ref="N52:P52"/>
    <mergeCell ref="R52:T52"/>
    <mergeCell ref="D77:G77"/>
    <mergeCell ref="Z77:AC77"/>
    <mergeCell ref="AU77:AX77"/>
    <mergeCell ref="BO77:BR77"/>
    <mergeCell ref="E80:F80"/>
    <mergeCell ref="H80:I80"/>
    <mergeCell ref="K80:L80"/>
    <mergeCell ref="O80:P80"/>
    <mergeCell ref="Q80:S80"/>
    <mergeCell ref="AA80:AB80"/>
    <mergeCell ref="AD80:AE80"/>
    <mergeCell ref="AG80:AH80"/>
    <mergeCell ref="AK80:AO80"/>
    <mergeCell ref="AV80:AW80"/>
    <mergeCell ref="AY80:AZ80"/>
    <mergeCell ref="BB80:BC80"/>
    <mergeCell ref="BF80:BJ80"/>
    <mergeCell ref="E82:H82"/>
    <mergeCell ref="AA82:AD82"/>
    <mergeCell ref="AV82:AZ82"/>
    <mergeCell ref="D84:I84"/>
    <mergeCell ref="J84:L84"/>
    <mergeCell ref="N84:P84"/>
    <mergeCell ref="R84:T84"/>
    <mergeCell ref="AA84:AD84"/>
    <mergeCell ref="AE84:AH84"/>
    <mergeCell ref="AI84:AM84"/>
    <mergeCell ref="AN84:AQ84"/>
    <mergeCell ref="AV84:BD84"/>
    <mergeCell ref="D85:I85"/>
    <mergeCell ref="J85:L85"/>
    <mergeCell ref="N85:P85"/>
    <mergeCell ref="R85:T85"/>
    <mergeCell ref="AA85:AD85"/>
    <mergeCell ref="AE85:AH85"/>
    <mergeCell ref="AI85:AM85"/>
    <mergeCell ref="AN85:AQ85"/>
    <mergeCell ref="AZ85:BB85"/>
    <mergeCell ref="BG85:BH85"/>
    <mergeCell ref="BI85:BJ85"/>
    <mergeCell ref="AZ86:BB86"/>
    <mergeCell ref="BG86:BH86"/>
    <mergeCell ref="BI86:BJ86"/>
    <mergeCell ref="AE87:AH87"/>
    <mergeCell ref="AI87:AM87"/>
    <mergeCell ref="AN87:AQ87"/>
    <mergeCell ref="AZ87:BB87"/>
    <mergeCell ref="BG87:BH87"/>
    <mergeCell ref="BI87:BJ87"/>
    <mergeCell ref="E88:I88"/>
    <mergeCell ref="AE88:AH88"/>
    <mergeCell ref="AI88:AM88"/>
    <mergeCell ref="AN88:AQ88"/>
    <mergeCell ref="AZ88:BB88"/>
    <mergeCell ref="BG88:BH88"/>
    <mergeCell ref="BI88:BJ88"/>
    <mergeCell ref="AE89:AH89"/>
    <mergeCell ref="AI89:AM89"/>
    <mergeCell ref="AN89:AQ89"/>
    <mergeCell ref="AZ89:BB89"/>
    <mergeCell ref="BG89:BH89"/>
    <mergeCell ref="BI89:BJ89"/>
    <mergeCell ref="D90:G90"/>
    <mergeCell ref="H90:L90"/>
    <mergeCell ref="M90:P90"/>
    <mergeCell ref="Q90:U90"/>
    <mergeCell ref="AE90:AH90"/>
    <mergeCell ref="AI90:AM90"/>
    <mergeCell ref="AN90:AQ90"/>
    <mergeCell ref="D91:G91"/>
    <mergeCell ref="H91:K91"/>
    <mergeCell ref="M91:P91"/>
    <mergeCell ref="Q91:U91"/>
    <mergeCell ref="AV91:BC91"/>
    <mergeCell ref="BD91:BF91"/>
    <mergeCell ref="BG91:BI91"/>
    <mergeCell ref="Z92:AC92"/>
    <mergeCell ref="AD92:AG92"/>
    <mergeCell ref="AI92:AL92"/>
    <mergeCell ref="AM92:AQ92"/>
    <mergeCell ref="AZ92:BB92"/>
    <mergeCell ref="BD92:BF92"/>
    <mergeCell ref="BG92:BI92"/>
    <mergeCell ref="D93:G93"/>
    <mergeCell ref="H93:K93"/>
    <mergeCell ref="M93:P93"/>
    <mergeCell ref="Q93:U93"/>
    <mergeCell ref="AA93:AD93"/>
    <mergeCell ref="AZ93:BB93"/>
    <mergeCell ref="BD93:BF93"/>
    <mergeCell ref="BG93:BI93"/>
    <mergeCell ref="D94:G94"/>
    <mergeCell ref="H94:K94"/>
    <mergeCell ref="M94:P94"/>
    <mergeCell ref="R94:U94"/>
    <mergeCell ref="AZ94:BB94"/>
    <mergeCell ref="BD94:BF94"/>
    <mergeCell ref="BG94:BI94"/>
    <mergeCell ref="AA95:AQ95"/>
    <mergeCell ref="AZ95:BB95"/>
    <mergeCell ref="BD95:BF95"/>
    <mergeCell ref="BG95:BI95"/>
    <mergeCell ref="D96:G96"/>
    <mergeCell ref="H96:L96"/>
    <mergeCell ref="M96:P96"/>
    <mergeCell ref="Q96:U96"/>
    <mergeCell ref="AZ96:BB96"/>
    <mergeCell ref="BD96:BF96"/>
    <mergeCell ref="BG96:BI96"/>
    <mergeCell ref="D97:G97"/>
    <mergeCell ref="H97:K97"/>
    <mergeCell ref="M97:P97"/>
    <mergeCell ref="R97:U97"/>
    <mergeCell ref="AA97:AQ97"/>
    <mergeCell ref="AV98:BD98"/>
    <mergeCell ref="AA99:AQ99"/>
    <mergeCell ref="AZ99:BB99"/>
    <mergeCell ref="BD99:BF99"/>
    <mergeCell ref="BG99:BI99"/>
    <mergeCell ref="AZ100:BB100"/>
    <mergeCell ref="BD100:BF100"/>
    <mergeCell ref="BG100:BI100"/>
    <mergeCell ref="E101:K101"/>
    <mergeCell ref="Z101:AC101"/>
    <mergeCell ref="AD101:AG101"/>
    <mergeCell ref="AI101:AL101"/>
    <mergeCell ref="AN101:AQ101"/>
    <mergeCell ref="AZ101:BB101"/>
    <mergeCell ref="BD101:BF101"/>
    <mergeCell ref="BG101:BI101"/>
    <mergeCell ref="AZ102:BB102"/>
    <mergeCell ref="BD102:BF102"/>
    <mergeCell ref="BG102:BI102"/>
    <mergeCell ref="Z103:AC103"/>
    <mergeCell ref="AD103:AH103"/>
    <mergeCell ref="AI103:AL103"/>
    <mergeCell ref="AM103:AQ103"/>
    <mergeCell ref="AZ103:BB103"/>
    <mergeCell ref="BD103:BF103"/>
    <mergeCell ref="BG103:BI103"/>
    <mergeCell ref="D105:G105"/>
    <mergeCell ref="O105:Q105"/>
    <mergeCell ref="R105:T105"/>
    <mergeCell ref="AV105:BD105"/>
    <mergeCell ref="AZ106:BB106"/>
    <mergeCell ref="BD106:BF106"/>
    <mergeCell ref="BG106:BI106"/>
    <mergeCell ref="AZ107:BB107"/>
    <mergeCell ref="BD107:BF107"/>
    <mergeCell ref="BG107:BI107"/>
    <mergeCell ref="AZ108:BB108"/>
    <mergeCell ref="BD108:BF108"/>
    <mergeCell ref="BG108:BI108"/>
    <mergeCell ref="AZ109:BB109"/>
    <mergeCell ref="BD109:BF109"/>
    <mergeCell ref="BG109:BI109"/>
    <mergeCell ref="AZ110:BB110"/>
    <mergeCell ref="BD110:BF110"/>
    <mergeCell ref="BG110:BI110"/>
    <mergeCell ref="E119:H119"/>
    <mergeCell ref="D123:G123"/>
    <mergeCell ref="O123:Q123"/>
    <mergeCell ref="R123:U123"/>
    <mergeCell ref="D142:I142"/>
    <mergeCell ref="L59:L60"/>
    <mergeCell ref="L62:L63"/>
    <mergeCell ref="T59:T60"/>
    <mergeCell ref="T62:T63"/>
    <mergeCell ref="P10:Q11"/>
    <mergeCell ref="P17:Q18"/>
    <mergeCell ref="P12:Q13"/>
    <mergeCell ref="P14:Q15"/>
    <mergeCell ref="N10:O15"/>
    <mergeCell ref="N17:O22"/>
    <mergeCell ref="P19:Q20"/>
    <mergeCell ref="AN19:AQ20"/>
    <mergeCell ref="E10:F15"/>
    <mergeCell ref="E17:F22"/>
    <mergeCell ref="G10:H11"/>
    <mergeCell ref="G12:H13"/>
    <mergeCell ref="G17:H18"/>
    <mergeCell ref="G19:H20"/>
    <mergeCell ref="G14:H15"/>
    <mergeCell ref="P21:Q22"/>
    <mergeCell ref="G21:H22"/>
    <mergeCell ref="I12:L13"/>
    <mergeCell ref="I10:L11"/>
    <mergeCell ref="I14:L15"/>
    <mergeCell ref="N33:O34"/>
    <mergeCell ref="P33:R34"/>
    <mergeCell ref="S33:T34"/>
    <mergeCell ref="AX10:BB11"/>
    <mergeCell ref="BD10:BH11"/>
    <mergeCell ref="AA10:AE11"/>
    <mergeCell ref="BJ10:BN11"/>
    <mergeCell ref="AX13:BB14"/>
    <mergeCell ref="BD13:BH14"/>
    <mergeCell ref="AA13:AE14"/>
    <mergeCell ref="BJ13:BN14"/>
    <mergeCell ref="Z19:AA21"/>
    <mergeCell ref="Z22:AA24"/>
    <mergeCell ref="Z25:AA27"/>
    <mergeCell ref="Z28:AA30"/>
    <mergeCell ref="Z31:AA33"/>
    <mergeCell ref="Z34:AA36"/>
    <mergeCell ref="AG10:AK11"/>
    <mergeCell ref="AM10:AQ11"/>
    <mergeCell ref="AG13:AK14"/>
    <mergeCell ref="AM13:AQ14"/>
    <mergeCell ref="AW19:AX21"/>
    <mergeCell ref="AW22:AX24"/>
    <mergeCell ref="AW25:AX27"/>
    <mergeCell ref="AW28:AX30"/>
    <mergeCell ref="AW31:AX33"/>
    <mergeCell ref="AW34:AX36"/>
    <mergeCell ref="BL50:BO51"/>
    <mergeCell ref="BP10:BR13"/>
    <mergeCell ref="BP19:BR36"/>
    <mergeCell ref="A89:B97"/>
    <mergeCell ref="A123:B131"/>
    <mergeCell ref="A141:B149"/>
    <mergeCell ref="I17:L18"/>
    <mergeCell ref="I19:L20"/>
    <mergeCell ref="I21:L22"/>
    <mergeCell ref="S17:U18"/>
    <mergeCell ref="S19:U20"/>
    <mergeCell ref="BL19:BN20"/>
    <mergeCell ref="S21:U22"/>
    <mergeCell ref="R12:U13"/>
    <mergeCell ref="R10:U11"/>
    <mergeCell ref="R14:U15"/>
    <mergeCell ref="E33:G34"/>
    <mergeCell ref="H33:J34"/>
    <mergeCell ref="K33:M34"/>
    <mergeCell ref="BL34:BN35"/>
    <mergeCell ref="E43:K44"/>
    <mergeCell ref="L43:T44"/>
    <mergeCell ref="F59:K60"/>
    <mergeCell ref="N59:S60"/>
    <mergeCell ref="F62:K63"/>
    <mergeCell ref="S66:V67"/>
    <mergeCell ref="D66:H67"/>
    <mergeCell ref="I66:M67"/>
    <mergeCell ref="N66:R67"/>
    <mergeCell ref="AN22:AQ23"/>
    <mergeCell ref="AN25:AQ26"/>
    <mergeCell ref="AN28:AQ29"/>
    <mergeCell ref="AN31:AQ32"/>
    <mergeCell ref="AN34:AQ35"/>
    <mergeCell ref="AB19:AF21"/>
    <mergeCell ref="AB22:AF24"/>
    <mergeCell ref="AB25:AF27"/>
    <mergeCell ref="AB28:AF30"/>
    <mergeCell ref="AB31:AF33"/>
    <mergeCell ref="AB34:AF36"/>
    <mergeCell ref="Z50:AD51"/>
    <mergeCell ref="AE50:AI51"/>
    <mergeCell ref="AJ50:AN51"/>
    <mergeCell ref="AO50:AR51"/>
    <mergeCell ref="AW50:BA51"/>
    <mergeCell ref="BB50:BF51"/>
    <mergeCell ref="BG50:BK51"/>
    <mergeCell ref="AS10:AU13"/>
    <mergeCell ref="AS19:AU36"/>
    <mergeCell ref="AY19:BC21"/>
    <mergeCell ref="AY22:BC24"/>
    <mergeCell ref="BL22:BN23"/>
    <mergeCell ref="AY25:BC27"/>
    <mergeCell ref="BL25:BN26"/>
    <mergeCell ref="AY28:BC30"/>
    <mergeCell ref="BL28:BN29"/>
    <mergeCell ref="AY31:BC33"/>
    <mergeCell ref="BL31:BN32"/>
    <mergeCell ref="AY34:BC36"/>
    <mergeCell ref="J142:L143"/>
    <mergeCell ref="Z1:BO2"/>
    <mergeCell ref="D103:I104"/>
    <mergeCell ref="K103:L104"/>
    <mergeCell ref="N103:R104"/>
    <mergeCell ref="S103:V104"/>
    <mergeCell ref="D106:I107"/>
    <mergeCell ref="K106:L107"/>
    <mergeCell ref="N106:R107"/>
    <mergeCell ref="S106:V107"/>
    <mergeCell ref="D109:I110"/>
    <mergeCell ref="K109:L110"/>
    <mergeCell ref="N109:R110"/>
    <mergeCell ref="S109:V110"/>
    <mergeCell ref="D112:I113"/>
    <mergeCell ref="K112:L113"/>
    <mergeCell ref="N112:R113"/>
    <mergeCell ref="S112:V113"/>
    <mergeCell ref="D115:I116"/>
    <mergeCell ref="K115:L116"/>
    <mergeCell ref="N115:R116"/>
    <mergeCell ref="S115:V116"/>
    <mergeCell ref="J144:L145"/>
    <mergeCell ref="D144:I145"/>
    <mergeCell ref="M144:R145"/>
    <mergeCell ref="S144:V145"/>
    <mergeCell ref="D147:I148"/>
    <mergeCell ref="J147:L148"/>
    <mergeCell ref="M147:R148"/>
    <mergeCell ref="S147:V148"/>
    <mergeCell ref="D121:I122"/>
    <mergeCell ref="J121:L122"/>
    <mergeCell ref="N121:R122"/>
    <mergeCell ref="S121:V122"/>
    <mergeCell ref="D124:I125"/>
    <mergeCell ref="J124:L125"/>
    <mergeCell ref="N124:R125"/>
    <mergeCell ref="S124:V125"/>
    <mergeCell ref="D127:I128"/>
    <mergeCell ref="J127:L128"/>
    <mergeCell ref="N127:R128"/>
    <mergeCell ref="S127:V128"/>
    <mergeCell ref="D130:I131"/>
    <mergeCell ref="J130:L131"/>
    <mergeCell ref="N130:R131"/>
    <mergeCell ref="S130:V131"/>
    <mergeCell ref="D133:I134"/>
    <mergeCell ref="J133:L134"/>
    <mergeCell ref="N133:R134"/>
    <mergeCell ref="S133:V134"/>
    <mergeCell ref="D136:I137"/>
    <mergeCell ref="J136:L137"/>
    <mergeCell ref="N136:R137"/>
    <mergeCell ref="S136:V137"/>
    <mergeCell ref="D139:L140"/>
    <mergeCell ref="N139:R140"/>
    <mergeCell ref="AA87:AD88"/>
    <mergeCell ref="AA89:AD90"/>
    <mergeCell ref="D72:BL75"/>
    <mergeCell ref="AV85:AY89"/>
    <mergeCell ref="AV92:AY96"/>
    <mergeCell ref="AV99:AY103"/>
    <mergeCell ref="AV106:AY110"/>
    <mergeCell ref="A81:B86"/>
    <mergeCell ref="A103:B106"/>
    <mergeCell ref="A8:B9"/>
    <mergeCell ref="N62:S63"/>
    <mergeCell ref="BQ80:CD9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D27"/>
  <sheetViews>
    <sheetView topLeftCell="W11" workbookViewId="0">
      <selection activeCell="Z13" sqref="Z13:AC13"/>
    </sheetView>
  </sheetViews>
  <sheetFormatPr defaultColWidth="9" defaultRowHeight="16.8"/>
  <cols>
    <col min="1" max="1" width="1.125" style="1" customWidth="1"/>
    <col min="2" max="2" width="1.375" style="1" customWidth="1"/>
    <col min="3" max="3" width="19.625" style="1" customWidth="1"/>
    <col min="4" max="4" width="1.25" style="1" customWidth="1"/>
    <col min="5" max="5" width="19.625" style="1" customWidth="1"/>
    <col min="6" max="6" width="1.25" style="1" customWidth="1"/>
    <col min="7" max="7" width="19.625" style="1" customWidth="1"/>
    <col min="8" max="8" width="0.75" style="1" customWidth="1"/>
    <col min="9" max="9" width="1.875" style="1" customWidth="1"/>
    <col min="10" max="10" width="1.375" style="1" customWidth="1"/>
    <col min="11" max="11" width="22.2265625" style="1" customWidth="1"/>
    <col min="12" max="12" width="1.25" style="1" customWidth="1"/>
    <col min="13" max="13" width="22.25" style="1" customWidth="1"/>
    <col min="14" max="14" width="0.921875" style="1" customWidth="1"/>
    <col min="15" max="15" width="2.5546875" style="1" customWidth="1"/>
    <col min="16" max="16" width="0.9765625" style="1" customWidth="1"/>
    <col min="17" max="17" width="24.125" style="1" customWidth="1"/>
    <col min="18" max="18" width="1.6953125" style="1" customWidth="1"/>
    <col min="19" max="19" width="24.0859375" style="1" customWidth="1"/>
    <col min="20" max="20" width="14.75" style="1" customWidth="1"/>
    <col min="21" max="22" width="2" style="1" customWidth="1"/>
    <col min="23" max="23" width="19.5" style="1" customWidth="1"/>
    <col min="24" max="24" width="5.125" style="1" customWidth="1"/>
    <col min="25" max="25" width="32.1640625" style="1" customWidth="1"/>
    <col min="26" max="26" width="4.390625" style="1" customWidth="1"/>
    <col min="27" max="27" width="26.7734375" style="1" customWidth="1"/>
    <col min="28" max="30" width="8.875" style="1" customWidth="1"/>
    <col min="31" max="16384" width="9" style="1"/>
  </cols>
  <sheetData>
    <row r="2" spans="2:20">
      <c r="B2" s="2"/>
      <c r="C2" s="3"/>
      <c r="D2" s="3"/>
      <c r="E2" s="3"/>
      <c r="F2" s="3"/>
      <c r="G2" s="3"/>
      <c r="H2" s="13"/>
      <c r="J2" s="2"/>
      <c r="K2" s="3"/>
      <c r="L2" s="3"/>
      <c r="M2" s="3"/>
      <c r="N2" s="13"/>
      <c r="P2" s="2"/>
      <c r="Q2" s="3"/>
      <c r="R2" s="3"/>
      <c r="S2" s="3"/>
      <c r="T2" s="13"/>
    </row>
    <row r="3" ht="23.2" spans="2:23">
      <c r="B3" s="4"/>
      <c r="C3" s="5" t="s">
        <v>171</v>
      </c>
      <c r="H3" s="14"/>
      <c r="J3" s="4"/>
      <c r="K3" s="5" t="s">
        <v>172</v>
      </c>
      <c r="N3" s="14"/>
      <c r="P3" s="4"/>
      <c r="Q3" s="5" t="s">
        <v>173</v>
      </c>
      <c r="T3" s="14"/>
      <c r="W3" s="5" t="s">
        <v>174</v>
      </c>
    </row>
    <row r="4" ht="5.15" customHeight="1" spans="2:20">
      <c r="B4" s="4"/>
      <c r="H4" s="14"/>
      <c r="J4" s="4"/>
      <c r="N4" s="14"/>
      <c r="P4" s="4"/>
      <c r="T4" s="14"/>
    </row>
    <row r="5" ht="38.25" customHeight="1" spans="2:25">
      <c r="B5" s="4"/>
      <c r="C5" s="6" t="s">
        <v>175</v>
      </c>
      <c r="E5" s="6" t="s">
        <v>176</v>
      </c>
      <c r="H5" s="14"/>
      <c r="J5" s="4"/>
      <c r="K5" s="6" t="s">
        <v>175</v>
      </c>
      <c r="M5" s="6" t="s">
        <v>176</v>
      </c>
      <c r="N5" s="14"/>
      <c r="P5" s="4"/>
      <c r="Q5" s="6" t="s">
        <v>175</v>
      </c>
      <c r="S5" s="6" t="s">
        <v>176</v>
      </c>
      <c r="T5" s="14"/>
      <c r="W5" s="6" t="s">
        <v>175</v>
      </c>
      <c r="Y5" s="6" t="s">
        <v>176</v>
      </c>
    </row>
    <row r="6" ht="6" customHeight="1" spans="2:20">
      <c r="B6" s="4"/>
      <c r="H6" s="14"/>
      <c r="J6" s="4"/>
      <c r="N6" s="14"/>
      <c r="P6" s="4"/>
      <c r="T6" s="14"/>
    </row>
    <row r="7" ht="109.35" customHeight="1" spans="2:27">
      <c r="B7" s="4"/>
      <c r="C7" s="7" t="s">
        <v>177</v>
      </c>
      <c r="E7" s="7" t="s">
        <v>178</v>
      </c>
      <c r="G7" s="7" t="s">
        <v>179</v>
      </c>
      <c r="H7" s="14"/>
      <c r="J7" s="4"/>
      <c r="K7" s="7" t="s">
        <v>180</v>
      </c>
      <c r="M7" s="7" t="s">
        <v>181</v>
      </c>
      <c r="N7" s="14"/>
      <c r="P7" s="4"/>
      <c r="Q7" s="7" t="s">
        <v>182</v>
      </c>
      <c r="S7" s="7" t="s">
        <v>183</v>
      </c>
      <c r="T7" s="14"/>
      <c r="U7" s="20"/>
      <c r="V7" s="20"/>
      <c r="W7" s="18" t="s">
        <v>184</v>
      </c>
      <c r="Y7" s="18" t="s">
        <v>185</v>
      </c>
      <c r="AA7" s="18" t="s">
        <v>186</v>
      </c>
    </row>
    <row r="8" ht="6.85" customHeight="1" spans="2:20">
      <c r="B8" s="4"/>
      <c r="H8" s="14"/>
      <c r="J8" s="4"/>
      <c r="N8" s="14"/>
      <c r="P8" s="4"/>
      <c r="T8" s="14"/>
    </row>
    <row r="9" ht="84" spans="2:27">
      <c r="B9" s="4"/>
      <c r="C9" s="7" t="s">
        <v>187</v>
      </c>
      <c r="E9" s="7" t="s">
        <v>188</v>
      </c>
      <c r="G9" s="15" t="s">
        <v>189</v>
      </c>
      <c r="H9" s="14"/>
      <c r="J9" s="4"/>
      <c r="K9" s="7" t="s">
        <v>190</v>
      </c>
      <c r="M9" s="18" t="s">
        <v>191</v>
      </c>
      <c r="N9" s="14"/>
      <c r="P9" s="4"/>
      <c r="T9" s="14"/>
      <c r="W9" s="18" t="s">
        <v>192</v>
      </c>
      <c r="Y9" s="18" t="s">
        <v>193</v>
      </c>
      <c r="AA9" s="18" t="s">
        <v>194</v>
      </c>
    </row>
    <row r="10" ht="6.85" customHeight="1" spans="2:20">
      <c r="B10" s="4"/>
      <c r="H10" s="14"/>
      <c r="J10" s="4"/>
      <c r="N10" s="14"/>
      <c r="P10" s="4"/>
      <c r="T10" s="14"/>
    </row>
    <row r="11" ht="72" spans="2:23">
      <c r="B11" s="4"/>
      <c r="C11" s="8" t="s">
        <v>195</v>
      </c>
      <c r="E11" s="7" t="s">
        <v>196</v>
      </c>
      <c r="G11" s="7" t="s">
        <v>197</v>
      </c>
      <c r="H11" s="14"/>
      <c r="J11" s="4"/>
      <c r="K11" s="7" t="s">
        <v>198</v>
      </c>
      <c r="N11" s="14"/>
      <c r="P11" s="4"/>
      <c r="Q11" s="19"/>
      <c r="T11" s="14"/>
      <c r="W11" s="21" t="s">
        <v>199</v>
      </c>
    </row>
    <row r="12" ht="17.6" spans="2:29">
      <c r="B12" s="4"/>
      <c r="C12" s="9"/>
      <c r="H12" s="14"/>
      <c r="J12" s="4"/>
      <c r="K12" s="9"/>
      <c r="N12" s="14"/>
      <c r="P12" s="4"/>
      <c r="T12" s="14"/>
      <c r="W12" s="22" t="s">
        <v>200</v>
      </c>
      <c r="X12" s="23"/>
      <c r="Y12" s="22"/>
      <c r="Z12" s="23"/>
      <c r="AA12" s="24" t="s">
        <v>201</v>
      </c>
      <c r="AB12" s="23"/>
      <c r="AC12" s="16"/>
    </row>
    <row r="13" spans="2:30">
      <c r="B13" s="4"/>
      <c r="C13" s="10" t="s">
        <v>200</v>
      </c>
      <c r="H13" s="14"/>
      <c r="J13" s="4"/>
      <c r="K13" s="10" t="s">
        <v>200</v>
      </c>
      <c r="N13" s="14"/>
      <c r="P13" s="4"/>
      <c r="Q13" s="16" t="s">
        <v>200</v>
      </c>
      <c r="T13" s="14"/>
      <c r="W13" s="22" t="s">
        <v>202</v>
      </c>
      <c r="X13" s="22" t="s">
        <v>203</v>
      </c>
      <c r="Y13" s="22" t="s">
        <v>204</v>
      </c>
      <c r="Z13" s="23"/>
      <c r="AA13" s="22" t="s">
        <v>205</v>
      </c>
      <c r="AB13" s="16" t="s">
        <v>206</v>
      </c>
      <c r="AC13" s="22" t="s">
        <v>207</v>
      </c>
      <c r="AD13" s="16" t="s">
        <v>208</v>
      </c>
    </row>
    <row r="14" spans="2:28">
      <c r="B14" s="4"/>
      <c r="C14" s="10" t="s">
        <v>209</v>
      </c>
      <c r="E14" s="16"/>
      <c r="H14" s="14"/>
      <c r="J14" s="4"/>
      <c r="K14" s="10" t="s">
        <v>210</v>
      </c>
      <c r="N14" s="14"/>
      <c r="P14" s="4"/>
      <c r="Q14" s="10" t="s">
        <v>211</v>
      </c>
      <c r="T14" s="14"/>
      <c r="W14" s="22" t="s">
        <v>212</v>
      </c>
      <c r="X14" s="23"/>
      <c r="Y14" s="23"/>
      <c r="Z14" s="23"/>
      <c r="AA14" s="23"/>
      <c r="AB14" s="23"/>
    </row>
    <row r="15" spans="2:28">
      <c r="B15" s="11"/>
      <c r="C15" s="12"/>
      <c r="D15" s="12"/>
      <c r="E15" s="12"/>
      <c r="F15" s="12"/>
      <c r="G15" s="12"/>
      <c r="H15" s="17"/>
      <c r="J15" s="11"/>
      <c r="K15" s="12"/>
      <c r="L15" s="12"/>
      <c r="M15" s="12"/>
      <c r="N15" s="17"/>
      <c r="P15" s="11"/>
      <c r="Q15" s="12"/>
      <c r="R15" s="12"/>
      <c r="S15" s="12"/>
      <c r="T15" s="17"/>
      <c r="W15" s="22" t="s">
        <v>213</v>
      </c>
      <c r="X15" s="23"/>
      <c r="Y15" s="23"/>
      <c r="Z15" s="23"/>
      <c r="AA15" s="23"/>
      <c r="AB15" s="23"/>
    </row>
    <row r="16" spans="23:28">
      <c r="W16" s="22" t="s">
        <v>214</v>
      </c>
      <c r="X16" s="23"/>
      <c r="Y16" s="23"/>
      <c r="Z16" s="23"/>
      <c r="AA16" s="23"/>
      <c r="AB16" s="23"/>
    </row>
    <row r="17" spans="23:28">
      <c r="W17" s="22" t="s">
        <v>215</v>
      </c>
      <c r="X17" s="23"/>
      <c r="Y17" s="23"/>
      <c r="Z17" s="23"/>
      <c r="AA17" s="23"/>
      <c r="AB17" s="23"/>
    </row>
    <row r="18" spans="23:28">
      <c r="W18" s="22" t="s">
        <v>216</v>
      </c>
      <c r="X18" s="23"/>
      <c r="Y18" s="23"/>
      <c r="Z18" s="23"/>
      <c r="AA18" s="23"/>
      <c r="AB18" s="23"/>
    </row>
    <row r="19" spans="23:28">
      <c r="W19" s="23"/>
      <c r="X19" s="23"/>
      <c r="Y19" s="23"/>
      <c r="Z19" s="23"/>
      <c r="AA19" s="23"/>
      <c r="AB19" s="23"/>
    </row>
    <row r="20" spans="23:28">
      <c r="W20" s="23"/>
      <c r="X20" s="23"/>
      <c r="Y20" s="23"/>
      <c r="Z20" s="23"/>
      <c r="AA20" s="23"/>
      <c r="AB20" s="23"/>
    </row>
    <row r="21" spans="23:28">
      <c r="W21" s="23"/>
      <c r="X21" s="23"/>
      <c r="Y21" s="23"/>
      <c r="Z21" s="23"/>
      <c r="AA21" s="23"/>
      <c r="AB21" s="23"/>
    </row>
    <row r="22" spans="23:28">
      <c r="W22" s="23"/>
      <c r="X22" s="23"/>
      <c r="Y22" s="23"/>
      <c r="Z22" s="23"/>
      <c r="AA22" s="23"/>
      <c r="AB22" s="23"/>
    </row>
    <row r="23" spans="23:28">
      <c r="W23" s="23"/>
      <c r="X23" s="23"/>
      <c r="Y23" s="23"/>
      <c r="Z23" s="23"/>
      <c r="AA23" s="23"/>
      <c r="AB23" s="23"/>
    </row>
    <row r="24" spans="23:28">
      <c r="W24" s="23"/>
      <c r="X24" s="23"/>
      <c r="Y24" s="23"/>
      <c r="Z24" s="23"/>
      <c r="AA24" s="23"/>
      <c r="AB24" s="23"/>
    </row>
    <row r="25" spans="23:28">
      <c r="W25" s="23"/>
      <c r="X25" s="23"/>
      <c r="Y25" s="23"/>
      <c r="Z25" s="23"/>
      <c r="AA25" s="23"/>
      <c r="AB25" s="23"/>
    </row>
    <row r="26" spans="23:28">
      <c r="W26" s="23"/>
      <c r="X26" s="23"/>
      <c r="Y26" s="23"/>
      <c r="Z26" s="23"/>
      <c r="AA26" s="23"/>
      <c r="AB26" s="23"/>
    </row>
    <row r="27" spans="23:28">
      <c r="W27" s="23"/>
      <c r="X27" s="23"/>
      <c r="Y27" s="23"/>
      <c r="Z27" s="23"/>
      <c r="AA27" s="23"/>
      <c r="AB27" s="23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	c����S	��b蕗^	c����S	��b蕗^�S�p�Q��p�QT�Nb�蕗^�vpenc7R�e�S�p�Q��p�QT�Nb�蕗^�vpenc7R�e�S�p�Q��p�QT�Nb�蕗^�vpenc7R�e�S�p�Q��p�QT�Nb�蕗^�vpenc7R�e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�S�p�Q��p�QT�Nb�蕗^�vpenc7R�e	c����S	��b蕗^	c����S	��b蕗^	c����S	��b蕗^	c����S	��b蕗^	c����S	��b蕗^	c����S	��b蕗^�S�p�Q��p�QT�Nb�蕗^�vpenc7R�e�S�p�Q��p�QT�Nb�蕗^�vpenc7R�e�S�p�Q��p�QT�Nb�蕗^�vpenc7R�e�S�p�Q��p�QT�Nb�蕗^�vpenc7R�e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WWO_wpscloud_20260421170530-febe6525c7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更新</vt:lpstr>
      <vt:lpstr>数据展示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半山古刹</cp:lastModifiedBy>
  <dcterms:created xsi:type="dcterms:W3CDTF">2018-06-11T08:28:00Z</dcterms:created>
  <dcterms:modified xsi:type="dcterms:W3CDTF">2026-04-25T13:36:37Z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1033-6.7.1.8828</vt:lpwstr>
  </property>
  <property fmtid="{D5CDD505-2E9C-101B-9397-08002B2CF9AE}" pid="3" name="ICV">
    <vt:lpwstr>C7921AD6521E47DFB1B65EB111F7F583_12</vt:lpwstr>
  </property>
  <property fmtid="{D5CDD505-2E9C-101B-9397-08002B2CF9AE}" pid="4" name="CalculationRule">
    <vt:i4>0</vt:i4>
  </property>
</Properties>
</file>