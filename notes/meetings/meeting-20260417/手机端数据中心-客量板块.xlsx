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1" activeTab="1"/>
  </bookViews>
  <sheets>
    <sheet name="数据中心" sheetId="4" state="hidden" r:id="rId1"/>
    <sheet name="数据中心 -手机界面-客量" sheetId="12" r:id="rId2"/>
    <sheet name="数据展示" sheetId="3" state="hidden" r:id="rId3"/>
    <sheet name="品项归类" sheetId="1" r:id="rId4"/>
  </sheets>
  <definedNames>
    <definedName name="_xlnm._FilterDatabase" localSheetId="3" hidden="1">品项归类!$A$2:$I$645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I7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按钮：可选择门店</t>
        </r>
      </text>
    </comment>
    <comment ref="E60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按钮：可选择门店</t>
        </r>
      </text>
    </comment>
    <comment ref="X60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按钮：可选择门店</t>
        </r>
      </text>
    </comment>
    <comment ref="AS60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按钮：可选择门店</t>
        </r>
      </text>
    </comment>
    <comment ref="BM60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按钮：可选择门店</t>
        </r>
      </text>
    </comment>
    <comment ref="D71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可点击，点击后，下面门店的数据刷新</t>
        </r>
      </text>
    </comment>
    <comment ref="J71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可点击，点击后，下面门店的数据刷新</t>
        </r>
      </text>
    </comment>
    <comment ref="N71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可点击，点击后，下面门店的数据刷新</t>
        </r>
      </text>
    </comment>
    <comment ref="R71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可点击，点击后，下面门店的数据刷新</t>
        </r>
      </text>
    </comment>
    <comment ref="W71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可点击，点击后，下面门店的数据刷新</t>
        </r>
      </text>
    </comment>
    <comment ref="AA71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可点击，点击后，下面门店的数据刷新</t>
        </r>
      </text>
    </comment>
    <comment ref="AR71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可点击，点击后，下面门店的数据刷新</t>
        </r>
      </text>
    </comment>
    <comment ref="BL71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可点击，点击后，下面门店的数据刷新</t>
        </r>
      </text>
    </comment>
    <comment ref="BL74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可点击，点击后，下面门店的数据刷新</t>
        </r>
      </text>
    </comment>
    <comment ref="BL77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可点击，点击后，下面门店的数据刷新</t>
        </r>
      </text>
    </comment>
    <comment ref="BL80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可点击，点击后，下面门店的数据刷新</t>
        </r>
      </text>
    </comment>
    <comment ref="AR83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可点击，点击后，下面门店的数据刷新</t>
        </r>
      </text>
    </comment>
    <comment ref="BL83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可点击，点击后，下面门店的数据刷新</t>
        </r>
      </text>
    </comment>
    <comment ref="BL86" authorId="0">
      <text>
        <r>
          <rPr>
            <b/>
            <sz val="9"/>
            <rFont val="宋体"/>
            <charset val="134"/>
          </rPr>
          <t>Zach:</t>
        </r>
        <r>
          <rPr>
            <sz val="9"/>
            <rFont val="宋体"/>
            <charset val="134"/>
          </rPr>
          <t xml:space="preserve">
可点击，点击后，下面门店的数据刷新</t>
        </r>
      </text>
    </comment>
  </commentList>
</comments>
</file>

<file path=xl/sharedStrings.xml><?xml version="1.0" encoding="utf-8"?>
<sst xmlns="http://schemas.openxmlformats.org/spreadsheetml/2006/main" count="5402" uniqueCount="728">
  <si>
    <t>客量板块</t>
  </si>
  <si>
    <t>集团/市场/门店</t>
  </si>
  <si>
    <t>今年/本月/本周/今日</t>
  </si>
  <si>
    <r>
      <rPr>
        <sz val="14"/>
        <color rgb="FF000000"/>
        <rFont val="微软雅黑"/>
        <charset val="134"/>
      </rPr>
      <t>500（动态）</t>
    </r>
    <r>
      <rPr>
        <sz val="11"/>
        <color rgb="FF000000"/>
        <rFont val="微软雅黑"/>
        <charset val="134"/>
      </rPr>
      <t xml:space="preserve">
会员注册人数</t>
    </r>
    <r>
      <rPr>
        <sz val="9"/>
        <color rgb="FFFF0000"/>
        <rFont val="微软雅黑"/>
        <charset val="134"/>
      </rPr>
      <t>(同比/环比)</t>
    </r>
  </si>
  <si>
    <r>
      <rPr>
        <sz val="14"/>
        <color rgb="FF000000"/>
        <rFont val="微软雅黑"/>
        <charset val="134"/>
      </rPr>
      <t>500（前三月）</t>
    </r>
    <r>
      <rPr>
        <sz val="11"/>
        <color rgb="FF000000"/>
        <rFont val="微软雅黑"/>
        <charset val="134"/>
      </rPr>
      <t xml:space="preserve">
有效保有会员
当月一次人数</t>
    </r>
    <r>
      <rPr>
        <sz val="8"/>
        <color rgb="FFFF0000"/>
        <rFont val="微软雅黑"/>
        <charset val="134"/>
      </rPr>
      <t>(同比/环比)</t>
    </r>
    <r>
      <rPr>
        <sz val="11"/>
        <color rgb="FF000000"/>
        <rFont val="微软雅黑"/>
        <charset val="134"/>
      </rPr>
      <t xml:space="preserve">
当月二次人数</t>
    </r>
    <r>
      <rPr>
        <sz val="8"/>
        <color rgb="FFFF0000"/>
        <rFont val="微软雅黑"/>
        <charset val="134"/>
      </rPr>
      <t>(同比/环比)</t>
    </r>
  </si>
  <si>
    <r>
      <rPr>
        <sz val="14"/>
        <color rgb="FF000000"/>
        <rFont val="微软雅黑"/>
        <charset val="134"/>
      </rPr>
      <t>500（上月）</t>
    </r>
    <r>
      <rPr>
        <sz val="11"/>
        <color rgb="FF000000"/>
        <rFont val="微软雅黑"/>
        <charset val="134"/>
      </rPr>
      <t xml:space="preserve">
沉睡人数</t>
    </r>
    <r>
      <rPr>
        <sz val="10"/>
        <color rgb="FFFF0000"/>
        <rFont val="微软雅黑"/>
        <charset val="134"/>
      </rPr>
      <t>(同比/环比)</t>
    </r>
    <r>
      <rPr>
        <sz val="8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当月激活人数</t>
    </r>
  </si>
  <si>
    <r>
      <rPr>
        <sz val="14"/>
        <color rgb="FF000000"/>
        <rFont val="微软雅黑"/>
        <charset val="134"/>
      </rPr>
      <t>500（上月）</t>
    </r>
    <r>
      <rPr>
        <sz val="11"/>
        <color rgb="FF000000"/>
        <rFont val="微软雅黑"/>
        <charset val="134"/>
      </rPr>
      <t xml:space="preserve">
冰冻人数</t>
    </r>
    <r>
      <rPr>
        <sz val="11"/>
        <color rgb="FFFF0000"/>
        <rFont val="微软雅黑"/>
        <charset val="134"/>
      </rPr>
      <t>(同比/环比)</t>
    </r>
    <r>
      <rPr>
        <sz val="11"/>
        <color rgb="FF000000"/>
        <rFont val="微软雅黑"/>
        <charset val="134"/>
      </rPr>
      <t xml:space="preserve">
当月激活人数</t>
    </r>
  </si>
  <si>
    <r>
      <rPr>
        <sz val="14"/>
        <color rgb="FF000000"/>
        <rFont val="微软雅黑"/>
        <charset val="134"/>
      </rPr>
      <t>500（上月）</t>
    </r>
    <r>
      <rPr>
        <sz val="11"/>
        <color rgb="FF000000"/>
        <rFont val="微软雅黑"/>
        <charset val="134"/>
      </rPr>
      <t xml:space="preserve">
休眠人数</t>
    </r>
    <r>
      <rPr>
        <sz val="11"/>
        <color rgb="FFFF0000"/>
        <rFont val="微软雅黑"/>
        <charset val="134"/>
      </rPr>
      <t>(同比/环比)</t>
    </r>
    <r>
      <rPr>
        <sz val="11"/>
        <color rgb="FF000000"/>
        <rFont val="微软雅黑"/>
        <charset val="134"/>
      </rPr>
      <t xml:space="preserve">
当月激活人数</t>
    </r>
  </si>
  <si>
    <r>
      <rPr>
        <sz val="14"/>
        <color rgb="FF000000"/>
        <rFont val="微软雅黑"/>
        <charset val="134"/>
      </rPr>
      <t>500（动态）</t>
    </r>
    <r>
      <rPr>
        <sz val="11"/>
        <color rgb="FF000000"/>
        <rFont val="微软雅黑"/>
        <charset val="134"/>
      </rPr>
      <t xml:space="preserve">
会员经营人数
（单笔≥1990元）</t>
    </r>
  </si>
  <si>
    <r>
      <rPr>
        <sz val="14"/>
        <color rgb="FF000000"/>
        <rFont val="微软雅黑"/>
        <charset val="134"/>
      </rPr>
      <t>500</t>
    </r>
    <r>
      <rPr>
        <sz val="11"/>
        <color rgb="FF000000"/>
        <rFont val="微软雅黑"/>
        <charset val="134"/>
      </rPr>
      <t xml:space="preserve">
会员新增人数</t>
    </r>
    <r>
      <rPr>
        <sz val="9"/>
        <color rgb="FFFF0000"/>
        <rFont val="微软雅黑"/>
        <charset val="134"/>
      </rPr>
      <t>(同比/环比)</t>
    </r>
    <r>
      <rPr>
        <sz val="11"/>
        <color rgb="FF000000"/>
        <rFont val="微软雅黑"/>
        <charset val="134"/>
      </rPr>
      <t xml:space="preserve">
当月流量客人数
当月成交率</t>
    </r>
    <r>
      <rPr>
        <sz val="8"/>
        <color rgb="FFFF0000"/>
        <rFont val="微软雅黑"/>
        <charset val="134"/>
      </rPr>
      <t>(新增人数÷流量客人数)</t>
    </r>
  </si>
  <si>
    <r>
      <rPr>
        <sz val="11"/>
        <color rgb="FF000000"/>
        <rFont val="微软雅黑"/>
        <charset val="134"/>
      </rPr>
      <t xml:space="preserve">会员客单
新客客单
</t>
    </r>
    <r>
      <rPr>
        <sz val="11"/>
        <color rgb="FFFF0000"/>
        <rFont val="微软雅黑"/>
        <charset val="134"/>
      </rPr>
      <t>(业绩÷被经营人数)</t>
    </r>
  </si>
  <si>
    <r>
      <rPr>
        <sz val="11"/>
        <color rgb="FF000000"/>
        <rFont val="微软雅黑"/>
        <charset val="134"/>
      </rPr>
      <t>服务人次
服务项目数
单次客耗</t>
    </r>
    <r>
      <rPr>
        <sz val="9"/>
        <color rgb="FFFF0000"/>
        <rFont val="微软雅黑"/>
        <charset val="134"/>
      </rPr>
      <t>(生美实耗÷频率)</t>
    </r>
    <r>
      <rPr>
        <sz val="11"/>
        <color rgb="FF000000"/>
        <rFont val="微软雅黑"/>
        <charset val="134"/>
      </rPr>
      <t xml:space="preserve">
</t>
    </r>
  </si>
  <si>
    <t>数据明细区【按市场】</t>
  </si>
  <si>
    <t>市场</t>
  </si>
  <si>
    <t>会员注册人数</t>
  </si>
  <si>
    <t>有效保有会员人数</t>
  </si>
  <si>
    <t>一次到店人数</t>
  </si>
  <si>
    <t>回店1次
达成率</t>
  </si>
  <si>
    <t>二次到店人数</t>
  </si>
  <si>
    <t>回店2次
达成率</t>
  </si>
  <si>
    <t>会员沉睡人数</t>
  </si>
  <si>
    <t>激活沉睡人数</t>
  </si>
  <si>
    <t>会员冰冻人数</t>
  </si>
  <si>
    <t>激活冰冻人数</t>
  </si>
  <si>
    <t>会员休眠人数</t>
  </si>
  <si>
    <t>激活休眠人数</t>
  </si>
  <si>
    <t>...</t>
  </si>
  <si>
    <t>1次÷有效</t>
  </si>
  <si>
    <t>2次÷1次</t>
  </si>
  <si>
    <t>＜1990</t>
  </si>
  <si>
    <t>≥1990元</t>
  </si>
  <si>
    <t>≥1万</t>
  </si>
  <si>
    <t>≥3万</t>
  </si>
  <si>
    <t>≥6万</t>
  </si>
  <si>
    <t>≥10万</t>
  </si>
  <si>
    <t>会员被经营总人数</t>
  </si>
  <si>
    <t>会员新增人数</t>
  </si>
  <si>
    <t>流量客
人数</t>
  </si>
  <si>
    <t>新增会员成交率</t>
  </si>
  <si>
    <t>会员客单</t>
  </si>
  <si>
    <t>新客客单</t>
  </si>
  <si>
    <t>流量人次</t>
  </si>
  <si>
    <t>会员人次</t>
  </si>
  <si>
    <t>项目数</t>
  </si>
  <si>
    <t>单次客耗</t>
  </si>
  <si>
    <t>单笔≥1990</t>
  </si>
  <si>
    <t>单笔＜1990</t>
  </si>
  <si>
    <t>新增÷流量</t>
  </si>
  <si>
    <t>业绩÷被经营人数</t>
  </si>
  <si>
    <t>业绩÷会员新增人数</t>
  </si>
  <si>
    <t>生美实耗÷会员人次</t>
  </si>
  <si>
    <t>数据明细区【按门店】</t>
  </si>
  <si>
    <t>门店</t>
  </si>
  <si>
    <t>D类(＜1990)</t>
  </si>
  <si>
    <t>C类(≥1990元)</t>
  </si>
  <si>
    <t>B类(≥1万)</t>
  </si>
  <si>
    <t>A类(≥3万)</t>
  </si>
  <si>
    <t>V类(≥6万)</t>
  </si>
  <si>
    <t>VIC类(≥10万)</t>
  </si>
  <si>
    <t>流量客
人次</t>
  </si>
  <si>
    <t>会员客
人次</t>
  </si>
  <si>
    <t>销售板块</t>
  </si>
  <si>
    <r>
      <rPr>
        <sz val="14"/>
        <color rgb="FF000000"/>
        <rFont val="微软雅黑"/>
        <charset val="134"/>
      </rPr>
      <t>10000
总业绩</t>
    </r>
    <r>
      <rPr>
        <sz val="10"/>
        <color rgb="FFFF0000"/>
        <rFont val="微软雅黑"/>
        <charset val="134"/>
      </rPr>
      <t>(同比/环比)</t>
    </r>
    <r>
      <rPr>
        <sz val="14"/>
        <color rgb="FF000000"/>
        <rFont val="微软雅黑"/>
        <charset val="134"/>
      </rPr>
      <t xml:space="preserve">
生美业绩</t>
    </r>
    <r>
      <rPr>
        <sz val="10"/>
        <color rgb="FFFF0000"/>
        <rFont val="微软雅黑"/>
        <charset val="134"/>
      </rPr>
      <t>(同比/环比)</t>
    </r>
    <r>
      <rPr>
        <sz val="10"/>
        <color rgb="FF000000"/>
        <rFont val="微软雅黑"/>
        <charset val="134"/>
      </rPr>
      <t xml:space="preserve">
</t>
    </r>
  </si>
  <si>
    <r>
      <rPr>
        <sz val="14"/>
        <color rgb="FF000000"/>
        <rFont val="微软雅黑"/>
        <charset val="134"/>
      </rPr>
      <t>10000
总实耗</t>
    </r>
    <r>
      <rPr>
        <sz val="10"/>
        <color rgb="FFFF0000"/>
        <rFont val="微软雅黑"/>
        <charset val="134"/>
      </rPr>
      <t>(同比/环比)</t>
    </r>
    <r>
      <rPr>
        <sz val="14"/>
        <color rgb="FF000000"/>
        <rFont val="微软雅黑"/>
        <charset val="134"/>
      </rPr>
      <t xml:space="preserve">
生美实耗</t>
    </r>
    <r>
      <rPr>
        <sz val="10"/>
        <color rgb="FFFF0000"/>
        <rFont val="微软雅黑"/>
        <charset val="134"/>
      </rPr>
      <t>(同比/环比)</t>
    </r>
    <r>
      <rPr>
        <sz val="14"/>
        <color rgb="FF000000"/>
        <rFont val="微软雅黑"/>
        <charset val="134"/>
      </rPr>
      <t xml:space="preserve">
</t>
    </r>
  </si>
  <si>
    <r>
      <rPr>
        <sz val="14"/>
        <color rgb="FF000000"/>
        <rFont val="微软雅黑"/>
        <charset val="134"/>
      </rPr>
      <t>10000
新增客业绩</t>
    </r>
    <r>
      <rPr>
        <sz val="10"/>
        <color rgb="FFFF0000"/>
        <rFont val="微软雅黑"/>
        <charset val="134"/>
      </rPr>
      <t>(同比/环比)</t>
    </r>
    <r>
      <rPr>
        <sz val="14"/>
        <color rgb="FF000000"/>
        <rFont val="微软雅黑"/>
        <charset val="134"/>
      </rPr>
      <t xml:space="preserve">
流量客业绩</t>
    </r>
    <r>
      <rPr>
        <sz val="10"/>
        <color rgb="FFFF0000"/>
        <rFont val="微软雅黑"/>
        <charset val="134"/>
      </rPr>
      <t>(同比/环比)</t>
    </r>
  </si>
  <si>
    <t>10000
总业绩店均
生美业绩店均
实耗业绩店均</t>
  </si>
  <si>
    <r>
      <rPr>
        <sz val="14"/>
        <color rgb="FF000000"/>
        <rFont val="微软雅黑"/>
        <charset val="134"/>
      </rPr>
      <t>10
门店数
员工数</t>
    </r>
    <r>
      <rPr>
        <sz val="10"/>
        <color rgb="FF000000"/>
        <rFont val="微软雅黑"/>
        <charset val="134"/>
      </rPr>
      <t>(美容师+养生师)</t>
    </r>
  </si>
  <si>
    <t>门店数</t>
  </si>
  <si>
    <t>技师人数
美容+养生</t>
  </si>
  <si>
    <t>总业绩</t>
  </si>
  <si>
    <t>生美业绩</t>
  </si>
  <si>
    <t>总业绩
店均值</t>
  </si>
  <si>
    <t>生美业绩
店均值</t>
  </si>
  <si>
    <t>新增客
业绩</t>
  </si>
  <si>
    <t>流量客
业绩</t>
  </si>
  <si>
    <t>总实耗</t>
  </si>
  <si>
    <t>生美实耗</t>
  </si>
  <si>
    <t>总实耗
店均值</t>
  </si>
  <si>
    <t>生美实耗
店均值</t>
  </si>
  <si>
    <t>自贡</t>
  </si>
  <si>
    <t>汇东店</t>
  </si>
  <si>
    <t>人效板块</t>
  </si>
  <si>
    <r>
      <rPr>
        <sz val="14"/>
        <color rgb="FF000000"/>
        <rFont val="微软雅黑"/>
        <charset val="134"/>
      </rPr>
      <t>10000
店长人均会员数</t>
    </r>
    <r>
      <rPr>
        <sz val="14"/>
        <color rgb="FFFF0000"/>
        <rFont val="微软雅黑"/>
        <charset val="134"/>
      </rPr>
      <t>(注册÷店长)</t>
    </r>
    <r>
      <rPr>
        <sz val="14"/>
        <color rgb="FF000000"/>
        <rFont val="微软雅黑"/>
        <charset val="134"/>
      </rPr>
      <t xml:space="preserve">
店长人均员工数
</t>
    </r>
  </si>
  <si>
    <r>
      <rPr>
        <sz val="14"/>
        <color rgb="FF000000"/>
        <rFont val="微软雅黑"/>
        <charset val="134"/>
      </rPr>
      <t>10000
员工人均业绩
员工人均实耗
员工人均收入
人均会员量</t>
    </r>
    <r>
      <rPr>
        <sz val="12"/>
        <color rgb="FFFF0000"/>
        <rFont val="微软雅黑"/>
        <charset val="134"/>
      </rPr>
      <t>(</t>
    </r>
    <r>
      <rPr>
        <sz val="11"/>
        <color rgb="FFFF0000"/>
        <rFont val="微软雅黑"/>
        <charset val="134"/>
      </rPr>
      <t>有效到店÷员工)</t>
    </r>
    <r>
      <rPr>
        <sz val="14"/>
        <color rgb="FF000000"/>
        <rFont val="微软雅黑"/>
        <charset val="134"/>
      </rPr>
      <t xml:space="preserve">
人均项目数</t>
    </r>
    <r>
      <rPr>
        <sz val="12"/>
        <color rgb="FFFF0000"/>
        <rFont val="微软雅黑"/>
        <charset val="134"/>
      </rPr>
      <t>(生美项目÷员工)</t>
    </r>
  </si>
  <si>
    <t>数据明细区</t>
  </si>
  <si>
    <t>店长人数</t>
  </si>
  <si>
    <t>店长人均收入</t>
  </si>
  <si>
    <t>技师人数</t>
  </si>
  <si>
    <t>技师人均业绩</t>
  </si>
  <si>
    <t>技师人均总实耗</t>
  </si>
  <si>
    <t>技师人均生美实耗</t>
  </si>
  <si>
    <t>技师人均收入</t>
  </si>
  <si>
    <t>技师人均会员量</t>
  </si>
  <si>
    <t>技师人均项目数</t>
  </si>
  <si>
    <t>有效到店÷员工数</t>
  </si>
  <si>
    <t>生美项目数÷员工数</t>
  </si>
  <si>
    <t>门店排名榜</t>
  </si>
  <si>
    <t>门店业绩排名</t>
  </si>
  <si>
    <t>门店实耗排名</t>
  </si>
  <si>
    <t>门店会员量排名</t>
  </si>
  <si>
    <t>排名</t>
  </si>
  <si>
    <t>所属市场</t>
  </si>
  <si>
    <t>会员量</t>
  </si>
  <si>
    <t>门店新客排名</t>
  </si>
  <si>
    <t>门店项目数排名</t>
  </si>
  <si>
    <t>新增客</t>
  </si>
  <si>
    <t>员工排名榜</t>
  </si>
  <si>
    <t>员工业绩排名</t>
  </si>
  <si>
    <t>员工实耗排名</t>
  </si>
  <si>
    <t>员工会员量排名</t>
  </si>
  <si>
    <t>员工姓名</t>
  </si>
  <si>
    <t>岗位</t>
  </si>
  <si>
    <t>个人业绩</t>
  </si>
  <si>
    <t>所属门店</t>
  </si>
  <si>
    <t>个人实耗</t>
  </si>
  <si>
    <t>员工新客排名</t>
  </si>
  <si>
    <t>员工项目数排名</t>
  </si>
  <si>
    <t>员工收入排名</t>
  </si>
  <si>
    <t>个人收入</t>
  </si>
  <si>
    <t>品项板块</t>
  </si>
  <si>
    <r>
      <rPr>
        <sz val="14"/>
        <color rgb="FF000000"/>
        <rFont val="微软雅黑"/>
        <charset val="134"/>
      </rPr>
      <t xml:space="preserve">生美板块
市场王牌持卡人数
门店王牌持卡人数
市场王牌持卡人占比率
</t>
    </r>
    <r>
      <rPr>
        <sz val="14"/>
        <color rgb="FFFF0000"/>
        <rFont val="微软雅黑"/>
        <charset val="134"/>
      </rPr>
      <t>(持卡人数÷总会员人数)</t>
    </r>
  </si>
  <si>
    <t>生美板块
市场招牌复购人数/业绩/客单价
门店招牌复购人数/业绩/客单价
市场王牌复购人数/业绩/客单价
门店王牌复购人数/业绩/客单价</t>
  </si>
  <si>
    <r>
      <rPr>
        <sz val="14"/>
        <color rgb="FF000000"/>
        <rFont val="微软雅黑"/>
        <charset val="134"/>
      </rPr>
      <t xml:space="preserve">市场生美占比率
</t>
    </r>
    <r>
      <rPr>
        <sz val="14"/>
        <color rgb="FFFF0000"/>
        <rFont val="微软雅黑"/>
        <charset val="134"/>
      </rPr>
      <t>(生美业绩÷总业绩)</t>
    </r>
    <r>
      <rPr>
        <sz val="14"/>
        <color rgb="FF000000"/>
        <rFont val="微软雅黑"/>
        <charset val="134"/>
      </rPr>
      <t xml:space="preserve">
</t>
    </r>
  </si>
  <si>
    <r>
      <rPr>
        <sz val="14"/>
        <color rgb="FF000000"/>
        <rFont val="微软雅黑"/>
        <charset val="134"/>
      </rPr>
      <t xml:space="preserve">明星项目
市场持卡人数
门店持卡人数
市场持卡占比率
</t>
    </r>
    <r>
      <rPr>
        <sz val="14"/>
        <color rgb="FFFF0000"/>
        <rFont val="微软雅黑"/>
        <charset val="134"/>
      </rPr>
      <t>(品项持卡人÷总会员人数)</t>
    </r>
  </si>
  <si>
    <t>明星项目
市场新增人数/业绩/客单价
门店新增人数/业绩/客单价
市场复购人数/业绩/客单价
门店复购人数/业绩/客单价</t>
  </si>
  <si>
    <r>
      <rPr>
        <sz val="14"/>
        <color rgb="FF000000"/>
        <rFont val="微软雅黑"/>
        <charset val="134"/>
      </rPr>
      <t xml:space="preserve">明星项目
</t>
    </r>
    <r>
      <rPr>
        <b/>
        <sz val="14"/>
        <color rgb="FF000000"/>
        <rFont val="微软雅黑"/>
        <charset val="134"/>
      </rPr>
      <t>“分品”</t>
    </r>
    <r>
      <rPr>
        <sz val="14"/>
        <color rgb="FF000000"/>
        <rFont val="微软雅黑"/>
        <charset val="134"/>
      </rPr>
      <t xml:space="preserve">复购率
</t>
    </r>
    <r>
      <rPr>
        <sz val="14"/>
        <color rgb="FFFF0000"/>
        <rFont val="微软雅黑"/>
        <charset val="134"/>
      </rPr>
      <t>(复购人数÷持卡人数)</t>
    </r>
  </si>
  <si>
    <t>品项按市场汇总</t>
  </si>
  <si>
    <t>五大招牌</t>
  </si>
  <si>
    <t>安吉丽</t>
  </si>
  <si>
    <t>功能养生</t>
  </si>
  <si>
    <t>功能灸</t>
  </si>
  <si>
    <t>美在东方</t>
  </si>
  <si>
    <t>加项</t>
  </si>
  <si>
    <t>其他生美</t>
  </si>
  <si>
    <t>家居单品</t>
  </si>
  <si>
    <t>五官类</t>
  </si>
  <si>
    <t>美肤类</t>
  </si>
  <si>
    <t>科颜美</t>
  </si>
  <si>
    <t>美芯</t>
  </si>
  <si>
    <t>医美</t>
  </si>
  <si>
    <t>其他合作</t>
  </si>
  <si>
    <t>未选品项</t>
  </si>
  <si>
    <t>生美板块按市场汇总</t>
  </si>
  <si>
    <t>持卡人数</t>
  </si>
  <si>
    <t>持卡占比</t>
  </si>
  <si>
    <t>体验人数</t>
  </si>
  <si>
    <t>新增人数</t>
  </si>
  <si>
    <t>新增业绩</t>
  </si>
  <si>
    <t>客单价</t>
  </si>
  <si>
    <t>复购人数</t>
  </si>
  <si>
    <t>复购业绩</t>
  </si>
  <si>
    <t>复购率</t>
  </si>
  <si>
    <t>买单人数</t>
  </si>
  <si>
    <t>产品数量</t>
  </si>
  <si>
    <t>销售金额</t>
  </si>
  <si>
    <t>出库数量</t>
  </si>
  <si>
    <t>出库金额</t>
  </si>
  <si>
    <t>初次做这个项目(按分类二级)</t>
  </si>
  <si>
    <t>初次买这个项目(按二级分类)</t>
  </si>
  <si>
    <t>【王牌】安吉丽</t>
  </si>
  <si>
    <t>【王牌】功能养生</t>
  </si>
  <si>
    <t>【王牌】功能灸</t>
  </si>
  <si>
    <t>【王牌】美在东方</t>
  </si>
  <si>
    <t>合作板块按市场汇总</t>
  </si>
  <si>
    <t>【明星】五官类</t>
  </si>
  <si>
    <t>【明星】美肤类</t>
  </si>
  <si>
    <t>【明星】科颜美</t>
  </si>
  <si>
    <t>【明星】美芯</t>
  </si>
  <si>
    <t>【明星】医美</t>
  </si>
  <si>
    <t>品项按门店汇总</t>
  </si>
  <si>
    <t>生美板块按门店汇总</t>
  </si>
  <si>
    <t>合作板块按门店汇总</t>
  </si>
  <si>
    <t>【明星】其他合作</t>
  </si>
  <si>
    <t>一级页面</t>
  </si>
  <si>
    <t>tab1</t>
  </si>
  <si>
    <t>今日</t>
  </si>
  <si>
    <t>本月</t>
  </si>
  <si>
    <t>本年</t>
  </si>
  <si>
    <t>自定义</t>
  </si>
  <si>
    <t>tab2</t>
  </si>
  <si>
    <t>全部门店</t>
  </si>
  <si>
    <t>注册情况</t>
  </si>
  <si>
    <t>tab3</t>
  </si>
  <si>
    <t>二级页面1-1</t>
  </si>
  <si>
    <t>＞</t>
  </si>
  <si>
    <t>tab4</t>
  </si>
  <si>
    <t>同比：</t>
  </si>
  <si>
    <t>环比：</t>
  </si>
  <si>
    <t>到店客流数据</t>
  </si>
  <si>
    <t>总客流量</t>
  </si>
  <si>
    <t>体验客流量</t>
  </si>
  <si>
    <t>二级页面1-2</t>
  </si>
  <si>
    <t>小美客流量</t>
  </si>
  <si>
    <t>会员客流量</t>
  </si>
  <si>
    <t>会员状态与客活</t>
  </si>
  <si>
    <t>保有会员-稳定</t>
  </si>
  <si>
    <t>保有会员-有效</t>
  </si>
  <si>
    <t>二级页面1-3</t>
  </si>
  <si>
    <t>沉睡人数</t>
  </si>
  <si>
    <t>冰冻人数</t>
  </si>
  <si>
    <t>休眠人数</t>
  </si>
  <si>
    <t>用户行为统计</t>
  </si>
  <si>
    <t>会员被经营情况</t>
  </si>
  <si>
    <t>会员被经营人数</t>
  </si>
  <si>
    <t>二级页面1-4</t>
  </si>
  <si>
    <t>新增会员客人数：</t>
  </si>
  <si>
    <t>成交率：</t>
  </si>
  <si>
    <t>会员客单价</t>
  </si>
  <si>
    <t>新客客单价：</t>
  </si>
  <si>
    <t>用户数</t>
  </si>
  <si>
    <t>南昌旭辉店</t>
  </si>
  <si>
    <t>南昌云锦店</t>
  </si>
  <si>
    <t>南昌万达店</t>
  </si>
  <si>
    <t>九江鸿蒙店</t>
  </si>
  <si>
    <t>自贡富豪店</t>
  </si>
  <si>
    <t>︾展开</t>
  </si>
  <si>
    <t>统计时间：2026.4.20</t>
  </si>
  <si>
    <t>总注册数</t>
  </si>
  <si>
    <t>仅注册用户</t>
  </si>
  <si>
    <t>体验客</t>
  </si>
  <si>
    <t>会员客</t>
  </si>
  <si>
    <t>总客流量（次）</t>
  </si>
  <si>
    <t>体验流量（次）</t>
  </si>
  <si>
    <t>会员客流量（次）</t>
  </si>
  <si>
    <t>保有会员-稳定
（3个月≥6）</t>
  </si>
  <si>
    <t>一次客活
保有会员到店1次</t>
  </si>
  <si>
    <t>会员当期消费
＜1990</t>
  </si>
  <si>
    <t>消费金额</t>
  </si>
  <si>
    <t>对应人数</t>
  </si>
  <si>
    <t>保有会员-有效
（3个月≤5）</t>
  </si>
  <si>
    <t>二次客活
保有会员到店≥2次</t>
  </si>
  <si>
    <t>会员当期消费
≥1990</t>
  </si>
  <si>
    <t>查看名单</t>
  </si>
  <si>
    <t>项目数（扣卡次数）</t>
  </si>
  <si>
    <t>本月激活</t>
  </si>
  <si>
    <t>会员当期消费
≥1w</t>
  </si>
  <si>
    <t>人数</t>
  </si>
  <si>
    <t>会员当期消费
≥3w</t>
  </si>
  <si>
    <t>查看服务单</t>
  </si>
  <si>
    <t>会员当期消费
≥6w</t>
  </si>
  <si>
    <t>九江梦想店</t>
  </si>
  <si>
    <t>会员当期消费
10w+</t>
  </si>
  <si>
    <t>状态人数</t>
  </si>
  <si>
    <t>会员客单价：</t>
  </si>
  <si>
    <t>自贡贡井店</t>
  </si>
  <si>
    <t>新客经营</t>
  </si>
  <si>
    <t>新增会员数</t>
  </si>
  <si>
    <t>新增会员对应消费</t>
  </si>
  <si>
    <t>新增会员客单价</t>
  </si>
  <si>
    <t>查看订单</t>
  </si>
  <si>
    <t>数据-客量板块</t>
  </si>
  <si>
    <t>数据-销售板块</t>
  </si>
  <si>
    <t>数据-人效板块</t>
  </si>
  <si>
    <t>数据-品项板块</t>
  </si>
  <si>
    <r>
      <rPr>
        <sz val="14"/>
        <color rgb="FF000000"/>
        <rFont val="微软雅黑"/>
        <charset val="134"/>
      </rPr>
      <t>500</t>
    </r>
    <r>
      <rPr>
        <sz val="11"/>
        <color rgb="FF000000"/>
        <rFont val="微软雅黑"/>
        <charset val="134"/>
      </rPr>
      <t xml:space="preserve">
会员注册人数</t>
    </r>
    <r>
      <rPr>
        <sz val="8"/>
        <color rgb="FF000000"/>
        <rFont val="微软雅黑"/>
        <charset val="134"/>
      </rPr>
      <t>(同比/环比)</t>
    </r>
  </si>
  <si>
    <r>
      <rPr>
        <sz val="14"/>
        <color rgb="FF000000"/>
        <rFont val="微软雅黑"/>
        <charset val="134"/>
      </rPr>
      <t>500</t>
    </r>
    <r>
      <rPr>
        <sz val="11"/>
        <color rgb="FF000000"/>
        <rFont val="微软雅黑"/>
        <charset val="134"/>
      </rPr>
      <t xml:space="preserve">
有效会员
当月一次人数</t>
    </r>
    <r>
      <rPr>
        <sz val="8"/>
        <color rgb="FF000000"/>
        <rFont val="微软雅黑"/>
        <charset val="134"/>
      </rPr>
      <t xml:space="preserve">(同比/环比)
</t>
    </r>
    <r>
      <rPr>
        <sz val="10"/>
        <color rgb="FF000000"/>
        <rFont val="微软雅黑"/>
        <charset val="134"/>
      </rPr>
      <t>当月</t>
    </r>
    <r>
      <rPr>
        <sz val="11"/>
        <color rgb="FF000000"/>
        <rFont val="微软雅黑"/>
        <charset val="134"/>
      </rPr>
      <t>二次人数</t>
    </r>
    <r>
      <rPr>
        <sz val="8"/>
        <color rgb="FF000000"/>
        <rFont val="微软雅黑"/>
        <charset val="134"/>
      </rPr>
      <t>(同比/环比)</t>
    </r>
  </si>
  <si>
    <r>
      <rPr>
        <sz val="14"/>
        <color rgb="FF000000"/>
        <rFont val="微软雅黑"/>
        <charset val="134"/>
      </rPr>
      <t>500</t>
    </r>
    <r>
      <rPr>
        <sz val="11"/>
        <color rgb="FF000000"/>
        <rFont val="微软雅黑"/>
        <charset val="134"/>
      </rPr>
      <t xml:space="preserve">
沉睡人数</t>
    </r>
    <r>
      <rPr>
        <sz val="8"/>
        <color rgb="FF000000"/>
        <rFont val="微软雅黑"/>
        <charset val="134"/>
      </rPr>
      <t xml:space="preserve">(同比/环比)
</t>
    </r>
    <r>
      <rPr>
        <sz val="11"/>
        <color rgb="FF000000"/>
        <rFont val="微软雅黑"/>
        <charset val="134"/>
      </rPr>
      <t>当月激活人数</t>
    </r>
  </si>
  <si>
    <r>
      <rPr>
        <sz val="14"/>
        <color rgb="FF000000"/>
        <rFont val="微软雅黑"/>
        <charset val="134"/>
      </rPr>
      <t>10000</t>
    </r>
    <r>
      <rPr>
        <sz val="11"/>
        <color rgb="FF000000"/>
        <rFont val="微软雅黑"/>
        <charset val="134"/>
      </rPr>
      <t xml:space="preserve">
总业绩
生美业绩</t>
    </r>
    <r>
      <rPr>
        <sz val="8"/>
        <color rgb="FF000000"/>
        <rFont val="微软雅黑"/>
        <charset val="134"/>
      </rPr>
      <t xml:space="preserve">(同比/环比)
</t>
    </r>
  </si>
  <si>
    <r>
      <rPr>
        <sz val="14"/>
        <color rgb="FF000000"/>
        <rFont val="微软雅黑"/>
        <charset val="134"/>
      </rPr>
      <t>10000</t>
    </r>
    <r>
      <rPr>
        <sz val="11"/>
        <color rgb="FF000000"/>
        <rFont val="微软雅黑"/>
        <charset val="134"/>
      </rPr>
      <t xml:space="preserve">
总实耗
生美实耗</t>
    </r>
    <r>
      <rPr>
        <sz val="8"/>
        <color rgb="FF000000"/>
        <rFont val="微软雅黑"/>
        <charset val="134"/>
      </rPr>
      <t xml:space="preserve">(同比/环比)
</t>
    </r>
  </si>
  <si>
    <r>
      <rPr>
        <sz val="14"/>
        <color rgb="FF000000"/>
        <rFont val="微软雅黑"/>
        <charset val="134"/>
      </rPr>
      <t>10000</t>
    </r>
    <r>
      <rPr>
        <sz val="11"/>
        <color rgb="FF000000"/>
        <rFont val="微软雅黑"/>
        <charset val="134"/>
      </rPr>
      <t xml:space="preserve">
店长人均会员数</t>
    </r>
    <r>
      <rPr>
        <sz val="9"/>
        <color rgb="FFFF0000"/>
        <rFont val="微软雅黑"/>
        <charset val="134"/>
      </rPr>
      <t>(注册÷店长)</t>
    </r>
    <r>
      <rPr>
        <sz val="11"/>
        <color rgb="FF000000"/>
        <rFont val="微软雅黑"/>
        <charset val="134"/>
      </rPr>
      <t xml:space="preserve">
店长人均员工数
店长人均收入</t>
    </r>
  </si>
  <si>
    <r>
      <rPr>
        <sz val="14"/>
        <color rgb="FF000000"/>
        <rFont val="微软雅黑"/>
        <charset val="134"/>
      </rPr>
      <t>10000</t>
    </r>
    <r>
      <rPr>
        <sz val="11"/>
        <color rgb="FF000000"/>
        <rFont val="微软雅黑"/>
        <charset val="134"/>
      </rPr>
      <t xml:space="preserve">
员工人均总业绩
员工人均总实耗
员工人均收入
人均会员量</t>
    </r>
    <r>
      <rPr>
        <sz val="8"/>
        <color rgb="FFFF0000"/>
        <rFont val="微软雅黑"/>
        <charset val="134"/>
      </rPr>
      <t>（有效到店÷员工）</t>
    </r>
    <r>
      <rPr>
        <sz val="11"/>
        <color rgb="FF000000"/>
        <rFont val="微软雅黑"/>
        <charset val="134"/>
      </rPr>
      <t xml:space="preserve">
人均项目数</t>
    </r>
    <r>
      <rPr>
        <sz val="9"/>
        <color rgb="FFFF0000"/>
        <rFont val="微软雅黑"/>
        <charset val="134"/>
      </rPr>
      <t>(生美项目÷员工</t>
    </r>
    <r>
      <rPr>
        <sz val="11"/>
        <color rgb="FF000000"/>
        <rFont val="微软雅黑"/>
        <charset val="134"/>
      </rPr>
      <t>)</t>
    </r>
  </si>
  <si>
    <r>
      <rPr>
        <sz val="11"/>
        <color rgb="FF000000"/>
        <rFont val="微软雅黑"/>
        <charset val="134"/>
      </rPr>
      <t xml:space="preserve">生美板块
市场王牌持卡人数
门店王牌持卡人数市场王牌持卡人占比率
</t>
    </r>
    <r>
      <rPr>
        <sz val="10"/>
        <color rgb="FFFF0000"/>
        <rFont val="微软雅黑"/>
        <charset val="134"/>
      </rPr>
      <t>(持卡人数÷总会员人数)</t>
    </r>
  </si>
  <si>
    <r>
      <rPr>
        <sz val="11"/>
        <color rgb="FF000000"/>
        <rFont val="微软雅黑"/>
        <charset val="134"/>
      </rPr>
      <t xml:space="preserve">市场生美占比率
</t>
    </r>
    <r>
      <rPr>
        <sz val="11"/>
        <color rgb="FFFF0000"/>
        <rFont val="微软雅黑"/>
        <charset val="134"/>
      </rPr>
      <t>(生美业绩÷总业绩)</t>
    </r>
    <r>
      <rPr>
        <sz val="11"/>
        <color rgb="FF000000"/>
        <rFont val="微软雅黑"/>
        <charset val="134"/>
      </rPr>
      <t xml:space="preserve">
</t>
    </r>
  </si>
  <si>
    <r>
      <rPr>
        <sz val="14"/>
        <color rgb="FF000000"/>
        <rFont val="微软雅黑"/>
        <charset val="134"/>
      </rPr>
      <t>500</t>
    </r>
    <r>
      <rPr>
        <sz val="11"/>
        <color rgb="FF000000"/>
        <rFont val="微软雅黑"/>
        <charset val="134"/>
      </rPr>
      <t xml:space="preserve">
冰冻人数</t>
    </r>
    <r>
      <rPr>
        <sz val="8"/>
        <color rgb="FF000000"/>
        <rFont val="微软雅黑"/>
        <charset val="134"/>
      </rPr>
      <t xml:space="preserve">(同比/环比)
</t>
    </r>
    <r>
      <rPr>
        <sz val="11"/>
        <color rgb="FF000000"/>
        <rFont val="微软雅黑"/>
        <charset val="134"/>
      </rPr>
      <t>当月激活人数</t>
    </r>
  </si>
  <si>
    <r>
      <rPr>
        <sz val="14"/>
        <color rgb="FF000000"/>
        <rFont val="微软雅黑"/>
        <charset val="134"/>
      </rPr>
      <t>500</t>
    </r>
    <r>
      <rPr>
        <sz val="11"/>
        <color rgb="FF000000"/>
        <rFont val="微软雅黑"/>
        <charset val="134"/>
      </rPr>
      <t xml:space="preserve">
休眠人数</t>
    </r>
    <r>
      <rPr>
        <sz val="8"/>
        <color rgb="FF000000"/>
        <rFont val="微软雅黑"/>
        <charset val="134"/>
      </rPr>
      <t xml:space="preserve">(同比/环比)
</t>
    </r>
    <r>
      <rPr>
        <sz val="11"/>
        <color rgb="FF000000"/>
        <rFont val="微软雅黑"/>
        <charset val="134"/>
      </rPr>
      <t>当月激活人数</t>
    </r>
  </si>
  <si>
    <r>
      <rPr>
        <sz val="14"/>
        <color rgb="FFFF0000"/>
        <rFont val="微软雅黑"/>
        <charset val="134"/>
      </rPr>
      <t>500</t>
    </r>
    <r>
      <rPr>
        <sz val="11"/>
        <color rgb="FFFF0000"/>
        <rFont val="微软雅黑"/>
        <charset val="134"/>
      </rPr>
      <t xml:space="preserve">
会员新增人数</t>
    </r>
    <r>
      <rPr>
        <sz val="8"/>
        <color rgb="FFFF0000"/>
        <rFont val="微软雅黑"/>
        <charset val="134"/>
      </rPr>
      <t xml:space="preserve">(同比/环比)
</t>
    </r>
    <r>
      <rPr>
        <sz val="10"/>
        <color rgb="FFFF0000"/>
        <rFont val="微软雅黑"/>
        <charset val="134"/>
      </rPr>
      <t>当月流量客人数</t>
    </r>
    <r>
      <rPr>
        <sz val="8"/>
        <color rgb="FFFF0000"/>
        <rFont val="微软雅黑"/>
        <charset val="134"/>
      </rPr>
      <t xml:space="preserve">
当月成交率(新增人数÷流量客人数)</t>
    </r>
  </si>
  <si>
    <r>
      <rPr>
        <sz val="14"/>
        <color rgb="FF000000"/>
        <rFont val="微软雅黑"/>
        <charset val="134"/>
      </rPr>
      <t>10000</t>
    </r>
    <r>
      <rPr>
        <sz val="11"/>
        <color rgb="FF000000"/>
        <rFont val="微软雅黑"/>
        <charset val="134"/>
      </rPr>
      <t xml:space="preserve">
新客业绩</t>
    </r>
    <r>
      <rPr>
        <sz val="8"/>
        <color rgb="FF000000"/>
        <rFont val="微软雅黑"/>
        <charset val="134"/>
      </rPr>
      <t xml:space="preserve">(同比/环比)
</t>
    </r>
    <r>
      <rPr>
        <sz val="11"/>
        <color rgb="FF000000"/>
        <rFont val="微软雅黑"/>
        <charset val="134"/>
      </rPr>
      <t>流量业绩</t>
    </r>
    <r>
      <rPr>
        <sz val="8"/>
        <color rgb="FF000000"/>
        <rFont val="微软雅黑"/>
        <charset val="134"/>
      </rPr>
      <t>(同比/环比)</t>
    </r>
  </si>
  <si>
    <r>
      <rPr>
        <sz val="11"/>
        <color rgb="FF000000"/>
        <rFont val="微软雅黑"/>
        <charset val="134"/>
      </rPr>
      <t xml:space="preserve">10
门店数
员工数(美容师/养生师)
</t>
    </r>
    <r>
      <rPr>
        <sz val="8"/>
        <color rgb="FF000000"/>
        <rFont val="微软雅黑"/>
        <charset val="134"/>
      </rPr>
      <t xml:space="preserve">
</t>
    </r>
  </si>
  <si>
    <r>
      <rPr>
        <sz val="11"/>
        <color rgb="FF000000"/>
        <rFont val="微软雅黑"/>
        <charset val="134"/>
      </rPr>
      <t>明星项目
市场持卡人数
门店持卡人数
市场持卡占比率</t>
    </r>
    <r>
      <rPr>
        <sz val="11"/>
        <color rgb="FFFF0000"/>
        <rFont val="微软雅黑"/>
        <charset val="134"/>
      </rPr>
      <t>(品项持卡人÷总会员人数)</t>
    </r>
  </si>
  <si>
    <r>
      <rPr>
        <sz val="11"/>
        <color rgb="FF000000"/>
        <rFont val="微软雅黑"/>
        <charset val="134"/>
      </rPr>
      <t xml:space="preserve">明星项目
“分品”复购率
</t>
    </r>
    <r>
      <rPr>
        <sz val="11"/>
        <color rgb="FFFF0000"/>
        <rFont val="微软雅黑"/>
        <charset val="134"/>
      </rPr>
      <t>(复购人数÷持卡人数)</t>
    </r>
  </si>
  <si>
    <t xml:space="preserve">会员经营人数
</t>
  </si>
  <si>
    <r>
      <rPr>
        <sz val="14"/>
        <color rgb="FF000000"/>
        <rFont val="微软雅黑"/>
        <charset val="134"/>
      </rPr>
      <t xml:space="preserve">服务人次
</t>
    </r>
    <r>
      <rPr>
        <sz val="9"/>
        <color rgb="FF000000"/>
        <rFont val="微软雅黑"/>
        <charset val="134"/>
      </rPr>
      <t>服务项目数</t>
    </r>
    <r>
      <rPr>
        <sz val="14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单次客耗</t>
    </r>
    <r>
      <rPr>
        <sz val="10"/>
        <color rgb="FFFF0000"/>
        <rFont val="微软雅黑"/>
        <charset val="134"/>
      </rPr>
      <t xml:space="preserve">(生美实耗÷频率)
</t>
    </r>
  </si>
  <si>
    <r>
      <rPr>
        <sz val="14"/>
        <color rgb="FF000000"/>
        <rFont val="微软雅黑"/>
        <charset val="134"/>
      </rPr>
      <t xml:space="preserve">会员客单
</t>
    </r>
    <r>
      <rPr>
        <sz val="11"/>
        <color rgb="FF000000"/>
        <rFont val="微软雅黑"/>
        <charset val="134"/>
      </rPr>
      <t>新客客单</t>
    </r>
    <r>
      <rPr>
        <sz val="14"/>
        <color rgb="FF000000"/>
        <rFont val="微软雅黑"/>
        <charset val="134"/>
      </rPr>
      <t xml:space="preserve">
</t>
    </r>
    <r>
      <rPr>
        <sz val="9"/>
        <color rgb="FFFF0000"/>
        <rFont val="微软雅黑"/>
        <charset val="134"/>
      </rPr>
      <t>(业绩÷被经营人数)</t>
    </r>
  </si>
  <si>
    <r>
      <rPr>
        <sz val="14"/>
        <color rgb="FF000000"/>
        <rFont val="微软雅黑"/>
        <charset val="134"/>
      </rPr>
      <t>10000</t>
    </r>
    <r>
      <rPr>
        <sz val="11"/>
        <color rgb="FF000000"/>
        <rFont val="微软雅黑"/>
        <charset val="134"/>
      </rPr>
      <t xml:space="preserve">
总业绩店均
</t>
    </r>
    <r>
      <rPr>
        <sz val="9"/>
        <color rgb="FF000000"/>
        <rFont val="微软雅黑"/>
        <charset val="134"/>
      </rPr>
      <t>生美业绩店均
实耗业绩店均</t>
    </r>
  </si>
  <si>
    <t>明细区
1、先市场
2、后门店</t>
  </si>
  <si>
    <t>无卡初次购买</t>
  </si>
  <si>
    <t>品项</t>
  </si>
  <si>
    <t>业绩业绩</t>
  </si>
  <si>
    <t>市场/门店/注册/有效/沉睡/冰冻/休眠/新增/被经营/档位</t>
  </si>
  <si>
    <t>市场/门店/总业绩/总实耗/新客业绩</t>
  </si>
  <si>
    <t>排名榜：业绩+实耗+新客+项目数+会员量+员工收入</t>
  </si>
  <si>
    <t>招牌</t>
  </si>
  <si>
    <t>经营类型</t>
  </si>
  <si>
    <t>一级品项</t>
  </si>
  <si>
    <t>二级品项</t>
  </si>
  <si>
    <t>项目系列</t>
  </si>
  <si>
    <t>项目/产品名称</t>
  </si>
  <si>
    <t>次数</t>
  </si>
  <si>
    <t>规格</t>
  </si>
  <si>
    <t>价格</t>
  </si>
  <si>
    <t>自销自耗</t>
  </si>
  <si>
    <t>美学类(面部)</t>
  </si>
  <si>
    <t>面部三重维养</t>
  </si>
  <si>
    <t>非会员/次</t>
  </si>
  <si>
    <t>会员/次</t>
  </si>
  <si>
    <t>健康类(身体)</t>
  </si>
  <si>
    <t>肩颈扶阳平衡</t>
  </si>
  <si>
    <t>舒润胸腺养护</t>
  </si>
  <si>
    <t>绝对招牌</t>
  </si>
  <si>
    <t>温经SPA腰腹</t>
  </si>
  <si>
    <t>温经SPA臀腿</t>
  </si>
  <si>
    <t>-</t>
  </si>
  <si>
    <t>招牌一卡通(面/肩/胸/温经SPA)</t>
  </si>
  <si>
    <t>中华神灸</t>
  </si>
  <si>
    <t>掌灸护理</t>
  </si>
  <si>
    <t>天灸护理</t>
  </si>
  <si>
    <t>魔方灸护理</t>
  </si>
  <si>
    <t>王牌</t>
  </si>
  <si>
    <t>造水系列</t>
  </si>
  <si>
    <t>水活焕能水光</t>
  </si>
  <si>
    <t>修复系列</t>
  </si>
  <si>
    <t>肌底焕活修护</t>
  </si>
  <si>
    <t>紧致系列</t>
  </si>
  <si>
    <t>乙酷基六肽青春</t>
  </si>
  <si>
    <t>靓肤系列</t>
  </si>
  <si>
    <t>晶钻靓肤</t>
  </si>
  <si>
    <t>净肤修颜</t>
  </si>
  <si>
    <t>待确认</t>
  </si>
  <si>
    <t>脂肪肌肉归位仪</t>
  </si>
  <si>
    <t>抖音专属-深水炸弹</t>
  </si>
  <si>
    <t>次</t>
  </si>
  <si>
    <t>水光体验(线上)</t>
  </si>
  <si>
    <t>舒活系列</t>
  </si>
  <si>
    <t>疼痛管理(头颈/肩手/腰部/腿部)</t>
  </si>
  <si>
    <t>门票-疼痛管理</t>
  </si>
  <si>
    <t>清畅系列</t>
  </si>
  <si>
    <t>排毒系统(淋巴/肝胆/肠胃)</t>
  </si>
  <si>
    <t>门票-排毒系统</t>
  </si>
  <si>
    <t>免疫系统</t>
  </si>
  <si>
    <t>门票-免疫系统</t>
  </si>
  <si>
    <t>体态系列</t>
  </si>
  <si>
    <t>骨龄管理(小部位)</t>
  </si>
  <si>
    <t>骨龄管理(大部位)</t>
  </si>
  <si>
    <t>歆笙泰妍</t>
  </si>
  <si>
    <t>活源胸腺养护</t>
  </si>
  <si>
    <t>香巢系列</t>
  </si>
  <si>
    <t>热敏练脐-香巢(女性生殖系统)</t>
  </si>
  <si>
    <t>【线上订单-单罐】热敏练脐-香巢</t>
  </si>
  <si>
    <t>【线上订单-双罐】热敏练脐-香巢</t>
  </si>
  <si>
    <t>为乐系列</t>
  </si>
  <si>
    <t>热敏练脐-为乐(女性脾胃系统)</t>
  </si>
  <si>
    <t>【线上订单-单罐】热敏练脐-为乐</t>
  </si>
  <si>
    <t>【线上订单-双罐】热敏练脐-为乐</t>
  </si>
  <si>
    <t>济本系列</t>
  </si>
  <si>
    <t>热敏练脐-济本(女性体质系统)</t>
  </si>
  <si>
    <t>【线上订单-单罐】热敏练脐-济本</t>
  </si>
  <si>
    <t>【线上订单-双罐】热敏练脐-济本</t>
  </si>
  <si>
    <t>水谷系列</t>
  </si>
  <si>
    <t>小儿健脾系统</t>
  </si>
  <si>
    <t>他销自耗</t>
  </si>
  <si>
    <t>慕慕霜</t>
  </si>
  <si>
    <t>年轻态慕慕霜</t>
  </si>
  <si>
    <t>和韵霜</t>
  </si>
  <si>
    <t>年轻态和韵霜(迷你)</t>
  </si>
  <si>
    <t>芳华霜</t>
  </si>
  <si>
    <t>年轻态和韵霜(尊享)</t>
  </si>
  <si>
    <t>非会员/瓶</t>
  </si>
  <si>
    <t>会员/瓶</t>
  </si>
  <si>
    <t>年轻态梵因霜</t>
  </si>
  <si>
    <t>舒活粉护理</t>
  </si>
  <si>
    <t>其他</t>
  </si>
  <si>
    <t>内脂精雕内脂套</t>
  </si>
  <si>
    <t>内脂精雕内脂套(单次)</t>
  </si>
  <si>
    <t>面部科技精华水光</t>
  </si>
  <si>
    <t>自销家居</t>
  </si>
  <si>
    <t>安吉丽家居</t>
  </si>
  <si>
    <t>轻奢靓肤美肌霜</t>
  </si>
  <si>
    <t>3只/盒</t>
  </si>
  <si>
    <t>轻奢焕颜净透霜</t>
  </si>
  <si>
    <t>轻奢逆龄霜</t>
  </si>
  <si>
    <t>靓颜美肌精华液</t>
  </si>
  <si>
    <t>轻奢活肤霜-单瓶</t>
  </si>
  <si>
    <t>1只</t>
  </si>
  <si>
    <t>花妍肌密面膜</t>
  </si>
  <si>
    <t>盒</t>
  </si>
  <si>
    <t>生物胶原修复面膜</t>
  </si>
  <si>
    <t>瓶</t>
  </si>
  <si>
    <t>胶原多肽修护喷雾</t>
  </si>
  <si>
    <t>美肌净透卸妆油</t>
  </si>
  <si>
    <t>净透洁颜慕斯</t>
  </si>
  <si>
    <t>莹润保湿蜜露</t>
  </si>
  <si>
    <t>奢养胶原精华液</t>
  </si>
  <si>
    <t>多重御龄精华乳</t>
  </si>
  <si>
    <t>紧致御龄焕颜霜</t>
  </si>
  <si>
    <t>御龄赋活紧致眼霜</t>
  </si>
  <si>
    <t>净肤轻颜啫喱</t>
  </si>
  <si>
    <t>盈透隔离防护乳</t>
  </si>
  <si>
    <t>轻奢活肤霜</t>
  </si>
  <si>
    <t>美艺</t>
  </si>
  <si>
    <t>美艺家居</t>
  </si>
  <si>
    <t>法米索深层清洁啫喱</t>
  </si>
  <si>
    <t>法米索呵护膏</t>
  </si>
  <si>
    <t>法米索固色稳定剂</t>
  </si>
  <si>
    <t>法米索眉部呵护啫喱</t>
  </si>
  <si>
    <t>法米索多肽修护精华</t>
  </si>
  <si>
    <t>昊美家居</t>
  </si>
  <si>
    <t>掌灸伴侣</t>
  </si>
  <si>
    <t>掌灸仪器</t>
  </si>
  <si>
    <t>台</t>
  </si>
  <si>
    <t>歆笙泰妍家居</t>
  </si>
  <si>
    <t>歆笙泰妍舒活粉</t>
  </si>
  <si>
    <t>明星</t>
  </si>
  <si>
    <t>盈姿家居</t>
  </si>
  <si>
    <t>贻贝生物抗菌蛋白肽</t>
  </si>
  <si>
    <t>套</t>
  </si>
  <si>
    <t>植物青春活力霜</t>
  </si>
  <si>
    <t>乳酸菌抑菌片</t>
  </si>
  <si>
    <t>菩提清洁慕斯</t>
  </si>
  <si>
    <t>菩提清洁护理液</t>
  </si>
  <si>
    <t>清爽佳人套</t>
  </si>
  <si>
    <t>红粉佳人套</t>
  </si>
  <si>
    <t>多效护理洗衣液</t>
  </si>
  <si>
    <t>蚕丝蛋白按摩露</t>
  </si>
  <si>
    <t>悠妃曼家居</t>
  </si>
  <si>
    <t>紫熏之花内裤</t>
  </si>
  <si>
    <t>70S/条</t>
  </si>
  <si>
    <t>76M/条</t>
  </si>
  <si>
    <t>82L/条</t>
  </si>
  <si>
    <t>90XL/条</t>
  </si>
  <si>
    <t>95XXL/条</t>
  </si>
  <si>
    <t>定制/条</t>
  </si>
  <si>
    <t>紫熏之花文胸</t>
  </si>
  <si>
    <t>70B/件</t>
  </si>
  <si>
    <t>70C/件</t>
  </si>
  <si>
    <t>70D/件</t>
  </si>
  <si>
    <t>70E/件</t>
  </si>
  <si>
    <t>70F/件</t>
  </si>
  <si>
    <t>75B/件</t>
  </si>
  <si>
    <t>75C/件</t>
  </si>
  <si>
    <t>75D/件</t>
  </si>
  <si>
    <t>75E/件</t>
  </si>
  <si>
    <t>75F/件</t>
  </si>
  <si>
    <t>80B/件</t>
  </si>
  <si>
    <t>80C/件</t>
  </si>
  <si>
    <t>80D/件</t>
  </si>
  <si>
    <t>80E/件</t>
  </si>
  <si>
    <t>80F/件</t>
  </si>
  <si>
    <t>85B/件</t>
  </si>
  <si>
    <t>85C/件</t>
  </si>
  <si>
    <t>85D/件</t>
  </si>
  <si>
    <t>85E/件</t>
  </si>
  <si>
    <t>85F/件</t>
  </si>
  <si>
    <t>90B/件</t>
  </si>
  <si>
    <t>90C/件</t>
  </si>
  <si>
    <t>90D/件</t>
  </si>
  <si>
    <t>90E/件</t>
  </si>
  <si>
    <t>90F/件</t>
  </si>
  <si>
    <t>95B/件</t>
  </si>
  <si>
    <t>95C/件</t>
  </si>
  <si>
    <t>95D/件</t>
  </si>
  <si>
    <t>95E/件</t>
  </si>
  <si>
    <t>95F/件</t>
  </si>
  <si>
    <t>定制/件</t>
  </si>
  <si>
    <t>紫熏之花连体衣</t>
  </si>
  <si>
    <t>70S/件</t>
  </si>
  <si>
    <t>76M/件</t>
  </si>
  <si>
    <t>82L/件</t>
  </si>
  <si>
    <t>90XL/件</t>
  </si>
  <si>
    <t>95XXL/件</t>
  </si>
  <si>
    <t>紫熏之花组合装(内裤+连体衣)</t>
  </si>
  <si>
    <t>70S/组合</t>
  </si>
  <si>
    <t>70M/组合</t>
  </si>
  <si>
    <t>82L/组合</t>
  </si>
  <si>
    <t>90XL/组合</t>
  </si>
  <si>
    <t>95XXL/组合</t>
  </si>
  <si>
    <t>深V文胸</t>
  </si>
  <si>
    <t>蜜桃裤</t>
  </si>
  <si>
    <t>绝代风华-腰夹</t>
  </si>
  <si>
    <t>红粉佳人-腰夹</t>
  </si>
  <si>
    <t>S体塑无袖背夹</t>
  </si>
  <si>
    <t>S体塑短塑裤</t>
  </si>
  <si>
    <t>裸感长袖背夹</t>
  </si>
  <si>
    <t>裸感长塑裤</t>
  </si>
  <si>
    <t>他销他耗</t>
  </si>
  <si>
    <t>原生羽雕眉(三级)</t>
  </si>
  <si>
    <t>精雕羽绒野生眉(二级/一级/总监)</t>
  </si>
  <si>
    <t>私定眉毛(一级/总监)</t>
  </si>
  <si>
    <t>隐形美瞳线(三级)</t>
  </si>
  <si>
    <t>星空沙雾眼(二级/一级/总监)</t>
  </si>
  <si>
    <t>初级润唇(三级)</t>
  </si>
  <si>
    <t>高级定制唇(二级/一级)</t>
  </si>
  <si>
    <t>尊享艺术唇(一级/总监)</t>
  </si>
  <si>
    <t>私定唇(一级/总监)</t>
  </si>
  <si>
    <t>氧气眼影(二级/一级)</t>
  </si>
  <si>
    <t>私定眼影(一级/总监)</t>
  </si>
  <si>
    <t>高级定制鼻侧影(二级/一级)</t>
  </si>
  <si>
    <t>私定鼻侧影(一级/总监)</t>
  </si>
  <si>
    <t>小部位灵羽碎发线(二级/一级/总监)</t>
  </si>
  <si>
    <t>全部胎毛发际线(二级/一级/总监)</t>
  </si>
  <si>
    <t>单部位私定发际线(一级/总监)</t>
  </si>
  <si>
    <t>双部位私定发际线(一级/总监)</t>
  </si>
  <si>
    <t>三部位私定发际线(一级/总监)</t>
  </si>
  <si>
    <t>全头部私定发际线(一级/总监)</t>
  </si>
  <si>
    <t>私定腮红(一级/总监)</t>
  </si>
  <si>
    <t>乳晕(一级)</t>
  </si>
  <si>
    <t>乳晕(总监)</t>
  </si>
  <si>
    <t>皮肤-点痣</t>
  </si>
  <si>
    <t>皮肤-点肉痣</t>
  </si>
  <si>
    <t>洗-眉/眼/唇</t>
  </si>
  <si>
    <t>洗-无创纹身</t>
  </si>
  <si>
    <t>美艺门票(点痣5颗+美学设计1次+脱唇毛1次)</t>
  </si>
  <si>
    <t>美艺门票(美肤项目任选1次+美学设计1次+脱唇毛体验1次+项目抵用券500元次)</t>
  </si>
  <si>
    <t>美艺门票(牛奶光黑金DPL超光子1次或三维色素管理局部1次+美学设计1次+脱唇毛体验1次+项目抵用券1000元)</t>
  </si>
  <si>
    <t>深海微晶</t>
  </si>
  <si>
    <t>净化美人</t>
  </si>
  <si>
    <t>RF美雕</t>
  </si>
  <si>
    <t>牛奶光黑金DPL超光子</t>
  </si>
  <si>
    <t>三维色素管理(局部)</t>
  </si>
  <si>
    <t>三维色素管理(全脸)</t>
  </si>
  <si>
    <t>精细三维色素管理(面眼颈)</t>
  </si>
  <si>
    <t>非会员/组</t>
  </si>
  <si>
    <t>会员/组</t>
  </si>
  <si>
    <t>脱毛(腋毛/唇毛/胡子/脸颊)</t>
  </si>
  <si>
    <t>脱毛(发际线)</t>
  </si>
  <si>
    <t>脱毛(全手臂/全腿)</t>
  </si>
  <si>
    <t>脱毛 (比基尼)</t>
  </si>
  <si>
    <t>水光肌</t>
  </si>
  <si>
    <t>精灵眼</t>
  </si>
  <si>
    <t>童颜肌(全脸)</t>
  </si>
  <si>
    <t>天鹅颈</t>
  </si>
  <si>
    <t>童颜肌(面眼颈)</t>
  </si>
  <si>
    <t>三维小V脸</t>
  </si>
  <si>
    <t>三维立体KS(单庭)</t>
  </si>
  <si>
    <t>三维立体KS(面部)</t>
  </si>
  <si>
    <t>三维立体KS(面部或颈部年托管1）</t>
  </si>
  <si>
    <t>三维立体KS(面部或颈部年托管2)</t>
  </si>
  <si>
    <t>三维立体KS(身体)</t>
  </si>
  <si>
    <t>三维立体KS(身体年托管)</t>
  </si>
  <si>
    <t>科颜美门票(童颜肌单部位1次)</t>
  </si>
  <si>
    <t>科颜美门票(时光逆龄单部位1次)</t>
  </si>
  <si>
    <t>科颜美门票(韧带复位术单部位1次)</t>
  </si>
  <si>
    <t>无针水光(酷立肤)</t>
  </si>
  <si>
    <t>内环境检测</t>
  </si>
  <si>
    <t>美芯一维花蕊舒活管理</t>
  </si>
  <si>
    <t>美芯二维生态净化管理</t>
  </si>
  <si>
    <t>健康爱你礼包疗程(净化1次+蛋白肽1套)</t>
  </si>
  <si>
    <t>平衡疗程(净化1次+乳酸菌2套)</t>
  </si>
  <si>
    <t>悦动开关疗程</t>
  </si>
  <si>
    <t>美芯三维生态浅排调理</t>
  </si>
  <si>
    <t>美芯三维生态深排调理</t>
  </si>
  <si>
    <t>美芯四维生态唤醒回春管理</t>
  </si>
  <si>
    <t>美芯四维生态逆龄回春管理</t>
  </si>
  <si>
    <t>美芯四维生态细胞回春管理</t>
  </si>
  <si>
    <t>美芯五维生态逆龄青春管理</t>
  </si>
  <si>
    <t>玫瑰佳人套</t>
  </si>
  <si>
    <t>蝶变佳人套组</t>
  </si>
  <si>
    <t>红粉佳人SPA</t>
  </si>
  <si>
    <t>美芯门票</t>
  </si>
  <si>
    <t>520一生一世卡</t>
  </si>
  <si>
    <t>生态合作</t>
  </si>
  <si>
    <t>美卿医疗-仪器类</t>
  </si>
  <si>
    <t>超光子嫩肤</t>
  </si>
  <si>
    <t>黄金微针</t>
  </si>
  <si>
    <t>超声炮全面部</t>
  </si>
  <si>
    <t>超声炮面颈</t>
  </si>
  <si>
    <t>美卿医疗-注射类</t>
  </si>
  <si>
    <t>胶原释放-I-经典版(含1年2次维补)</t>
  </si>
  <si>
    <t>胶原释放-I-经典版(含3年6次维补)</t>
  </si>
  <si>
    <t>胶原释放Ⅱ-奢华版(含1年2次维补)</t>
  </si>
  <si>
    <t>白幼紧Ⅰ型</t>
  </si>
  <si>
    <t>白幼紧Ⅱ型</t>
  </si>
  <si>
    <t>卿盈美-I-即刻美</t>
  </si>
  <si>
    <t>卿盈美-Ⅱ-胶原美</t>
  </si>
  <si>
    <t>卿盈美-Ⅲ-立体美</t>
  </si>
  <si>
    <t>卿秀顔-I-清薄</t>
  </si>
  <si>
    <t>卿秀颜-Ⅱ-紧致</t>
  </si>
  <si>
    <t>8 度提升</t>
  </si>
  <si>
    <t>六脉提升-单区</t>
  </si>
  <si>
    <t>六脉提升-全面部</t>
  </si>
  <si>
    <t>岁月留晴-I-眼周滋养</t>
  </si>
  <si>
    <t>岁月留晴-I-眼周年轻化</t>
  </si>
  <si>
    <t>岁月留晴-Ⅱ-眼周美化</t>
  </si>
  <si>
    <t>唇欲高定</t>
  </si>
  <si>
    <t>艾玛仕法带</t>
  </si>
  <si>
    <t>再生重颜-单部位</t>
  </si>
  <si>
    <t>超模针-单部位</t>
  </si>
  <si>
    <t>天鹅颈-半年</t>
  </si>
  <si>
    <t>天鹅颈-一年</t>
  </si>
  <si>
    <t>轻中度天鹅颈-一年</t>
  </si>
  <si>
    <t>重度天鹅颈-一年</t>
  </si>
  <si>
    <t>反重力隐形提拉-标准版</t>
  </si>
  <si>
    <t>反重力隐形提拉-PLUS版</t>
  </si>
  <si>
    <t>反重力隐形提拉-极致版</t>
  </si>
  <si>
    <t>双生童颜-标准版</t>
  </si>
  <si>
    <t>双生童颜-PLUS版</t>
  </si>
  <si>
    <t>双生童颜-极致版</t>
  </si>
  <si>
    <t>美卿医疗-手术类</t>
  </si>
  <si>
    <t>童龄眼</t>
  </si>
  <si>
    <t>明眸-双眼皮(单项)</t>
  </si>
  <si>
    <t>秋波弧/温情线-大眼综合</t>
  </si>
  <si>
    <t>善睐-眼袋内</t>
  </si>
  <si>
    <t>钻石眼-眼袋外</t>
  </si>
  <si>
    <t>星空眸/光阴缘-复合眼袋</t>
  </si>
  <si>
    <t>眉目传情-提眉</t>
  </si>
  <si>
    <t>卿美人-全眼打造</t>
  </si>
  <si>
    <t>维纳斯美鼻小综合I型-耳软骨(单双侧)</t>
  </si>
  <si>
    <t>维纳斯美鼻综合II型-肋软骨(综合鼻)</t>
  </si>
  <si>
    <t>密龄美拉提-少龄</t>
  </si>
  <si>
    <t>密龄美拉提-妙龄</t>
  </si>
  <si>
    <t>密龄美拉提-丽龄</t>
  </si>
  <si>
    <t>密龄美拉提-蜜龄</t>
  </si>
  <si>
    <t>密龄美拉提-悦龄</t>
  </si>
  <si>
    <t>脂雕美人-手臂吸脂</t>
  </si>
  <si>
    <t>脂雕美人-腰腹吸脂</t>
  </si>
  <si>
    <t>脂雕美人-大腿吸脂</t>
  </si>
  <si>
    <t>脂雕美人-小腿吸脂</t>
  </si>
  <si>
    <t>脂雕美人-妈妈臀/臀线吸脂/胃部</t>
  </si>
  <si>
    <t>脂雕美人-富贵包/副乳</t>
  </si>
  <si>
    <t>脂雕美人-蜜桃臀</t>
  </si>
  <si>
    <t>脂雕美人-超模腿</t>
  </si>
  <si>
    <t>脂雕美人-面颊/双下巴吸脂/下颌缘</t>
  </si>
  <si>
    <t>脂雕美人-配光纤每部位加</t>
  </si>
  <si>
    <t>维纳斯-鼻基底-鼻基底，硅胶/膨体</t>
  </si>
  <si>
    <t>美人颏-下巴硅胶</t>
  </si>
  <si>
    <t>美人颏-下巴膨体</t>
  </si>
  <si>
    <t>蒙娜丽莎微笑唇-微笑唇/M唇</t>
  </si>
  <si>
    <t>脂肪桃心脸填充-全脸脂肪填充1次</t>
  </si>
  <si>
    <t>脂肪胶桃心脸填充-全面部填充1次</t>
  </si>
  <si>
    <t>赫拉美胸-自体-自体脂肪丰胸/1次</t>
  </si>
  <si>
    <t>-自体脂肪丰胸/2次</t>
  </si>
  <si>
    <t>赫拉美胸-优雅型-魔迪/伊思雅</t>
  </si>
  <si>
    <t>赫拉美胸一丰满型-曼托圆形/水滴</t>
  </si>
  <si>
    <t>赫拉美胸-婀娜型-闪耀/星熠</t>
  </si>
  <si>
    <t>赫拉美胸-曼妙型-绚耀/璀璨</t>
  </si>
  <si>
    <t>赫拉美胸-风情万种型-复合式丰胸，自体+假体</t>
  </si>
  <si>
    <t>赫拉美胸一乳房提升/悬垂-双环/棒棒糖</t>
  </si>
  <si>
    <t>消脂针</t>
  </si>
  <si>
    <t>眼部精雕</t>
  </si>
  <si>
    <t>【直播】水光年卡</t>
  </si>
  <si>
    <t>光泽医疗-注射类</t>
  </si>
  <si>
    <t>爱贝芙-T区/眉骨、印堂、鼻子</t>
  </si>
  <si>
    <t>爱贝芙-U区/下巴、下颌骨</t>
  </si>
  <si>
    <t>爱贝芙-组合</t>
  </si>
  <si>
    <t>少女针-T区/眉骨、印堂、鼻子</t>
  </si>
  <si>
    <t>少女针-U区/下巴、下颌骨</t>
  </si>
  <si>
    <t>少女针-发际线/耳前韧带</t>
  </si>
  <si>
    <t>少女针-额头/太阳穴/额角</t>
  </si>
  <si>
    <t>少女针-组合任选1次</t>
  </si>
  <si>
    <t>少女针-组合任选3次</t>
  </si>
  <si>
    <t>菲林普利(悦龄塑)-T区/眉骨、印堂、鼻子</t>
  </si>
  <si>
    <t>菲林普利(悦龄塑)-U区/下巴、下颌骨</t>
  </si>
  <si>
    <t>悦龄塑(菲林普利)-组合任选1次</t>
  </si>
  <si>
    <t>悦龄塑(菲林普利)-组合任选3次</t>
  </si>
  <si>
    <t>悦龄塑(菲林普利)-3年维护</t>
  </si>
  <si>
    <t>天后童颜-面部</t>
  </si>
  <si>
    <t>天后童颜-名媛手背年轻化</t>
  </si>
  <si>
    <t>天后童颜-名媛手背年轻化1年维护</t>
  </si>
  <si>
    <t>公主大分子-苹果肌/颊凹/太阳穴</t>
  </si>
  <si>
    <t>公主大分子-鼻子/印堂/下巴/下颌骨</t>
  </si>
  <si>
    <t>胶原蛋白-眼眶凹陷/泪沟(1年维护)</t>
  </si>
  <si>
    <t>溶脂塑形-面部单部位1年维护</t>
  </si>
  <si>
    <t>溶脂塑形-面部单部位3年修补</t>
  </si>
  <si>
    <t>溶脂塑形-肩颈腿1年修补</t>
  </si>
  <si>
    <t>溶脂塑形-肩颈腿3年维护</t>
  </si>
  <si>
    <t>钻石铃铛线-复位一根</t>
  </si>
  <si>
    <t>钻石铃铛线-中段+下段</t>
  </si>
  <si>
    <t>钻石铃铛线-全脸3年维护(不含颈部)</t>
  </si>
  <si>
    <t>青春支架-全脸</t>
  </si>
  <si>
    <t>青春支架-全脸2年维护</t>
  </si>
  <si>
    <t>小线收紧-眼袋/下颌线/双下巴等</t>
  </si>
  <si>
    <t>小线收紧-眼袋/下颌线/双下巴等1年维护</t>
  </si>
  <si>
    <t>天鹅颈-复合式(童颜+胶原+嗨体)</t>
  </si>
  <si>
    <t>天鹅颈-童颜针3年修补</t>
  </si>
  <si>
    <t>焕颜术轻度-少女针+童颜+胶原复配</t>
  </si>
  <si>
    <t>焕颜术中度-少女针+童颜+胶原复配</t>
  </si>
  <si>
    <t>焕颜术重度-少女针+童颜+胶原复配</t>
  </si>
  <si>
    <t>抗衰仪器-全脸1年维护</t>
  </si>
  <si>
    <t>面部轻盈轻度-紧致针全脸1年维护</t>
  </si>
  <si>
    <t>面部轻盈中度-塑形+冷拉提全脸1年维护</t>
  </si>
  <si>
    <t>面部轻盈重度-塑形+紧致针+冷拉提全脸1年维护</t>
  </si>
  <si>
    <t>童颜除皱-全脸包2年维护</t>
  </si>
  <si>
    <t>童颜除皱-单庭包1年维护</t>
  </si>
  <si>
    <t>瘦肩针-肩膀1年维护</t>
  </si>
  <si>
    <t>小分子唇-嘴唇1年维护</t>
  </si>
  <si>
    <t>光泽医疗-单支类</t>
  </si>
  <si>
    <t>玻尿酸-小分子(乔雅登)</t>
  </si>
  <si>
    <t>玻尿酸-公主</t>
  </si>
  <si>
    <t>玻尿酸-熊猫针</t>
  </si>
  <si>
    <t>玻尿酸-嗨体1.5</t>
  </si>
  <si>
    <t>玻尿酸-嗨体2.5</t>
  </si>
  <si>
    <t>胶原蛋白</t>
  </si>
  <si>
    <t>再生材料-爱贝芙</t>
  </si>
  <si>
    <t>再生材料-少女针</t>
  </si>
  <si>
    <t>再生材料-童颜针</t>
  </si>
  <si>
    <t>再生材料-三型胶原</t>
  </si>
  <si>
    <t>光泽医疗-肉毒类</t>
  </si>
  <si>
    <t>乐缇葆(韩国进口)-瘦脸单部位</t>
  </si>
  <si>
    <t>乐缇葆(韩国进口)-瘦脸单部位1年维护</t>
  </si>
  <si>
    <t>乐缇葆(韩国进口)-腋下单部位</t>
  </si>
  <si>
    <t>乐缇葆(韩国进口)-腋下单部位1年维护</t>
  </si>
  <si>
    <t>乐缇葆(韩国进口)-肩颈腿单部位</t>
  </si>
  <si>
    <t>乐缇葆(韩国进口)-肩颈腿单部位1年维护</t>
  </si>
  <si>
    <t>衡力-瘦脸单部位</t>
  </si>
  <si>
    <t>衡力-瘦脸单部位1年维护</t>
  </si>
  <si>
    <t>衡力-腋下单部位</t>
  </si>
  <si>
    <t>衡力-腋下单部位1年维护</t>
  </si>
  <si>
    <t>衡力-肩颈腿单部位</t>
  </si>
  <si>
    <t>衡力-肩颈腿单部位1年维护</t>
  </si>
  <si>
    <t>降解玻璃酶-玻尿酸部位</t>
  </si>
  <si>
    <t>曲安奈德-单部位</t>
  </si>
  <si>
    <t>异物取出-单部位</t>
  </si>
  <si>
    <t>门票(少女线+单部位除皱)</t>
  </si>
  <si>
    <t>光泽医疗-仪器类</t>
  </si>
  <si>
    <t>黑金超光子</t>
  </si>
  <si>
    <t>超皮秒全模式</t>
  </si>
  <si>
    <t>恋大自然</t>
  </si>
  <si>
    <t>乳晕</t>
  </si>
  <si>
    <t>双腋下</t>
  </si>
  <si>
    <t>脐周</t>
  </si>
  <si>
    <t>臀部</t>
  </si>
  <si>
    <t>大腿根部</t>
  </si>
  <si>
    <t>上背部</t>
  </si>
  <si>
    <t>腰背部</t>
  </si>
  <si>
    <t>肛周</t>
  </si>
  <si>
    <t>比基尼单部位</t>
  </si>
  <si>
    <t>柔顺比基尼</t>
  </si>
  <si>
    <t>比基尼套餐</t>
  </si>
  <si>
    <t>少女比基尼</t>
  </si>
  <si>
    <t>唇毛</t>
  </si>
  <si>
    <t>下巴</t>
  </si>
  <si>
    <t>印堂</t>
  </si>
  <si>
    <t>苹果肌</t>
  </si>
  <si>
    <t>额头</t>
  </si>
  <si>
    <t>明星发际</t>
  </si>
  <si>
    <t>少女发际</t>
  </si>
  <si>
    <t>眉清目秀</t>
  </si>
  <si>
    <t>颜值微调</t>
  </si>
  <si>
    <t>全脸套餐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</si>
</sst>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5" formatCode="&quot;￥&quot;#,##0;&quot;￥&quot;\-#,##0"/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.00_);[Red]\(0.00\)"/>
  </numFmts>
  <fonts count="4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sz val="11"/>
      <color rgb="FF1C15EB"/>
      <name val="微软雅黑"/>
      <charset val="134"/>
    </font>
    <font>
      <sz val="16"/>
      <color rgb="FF000000"/>
      <name val="微软雅黑"/>
      <charset val="134"/>
    </font>
    <font>
      <sz val="14"/>
      <color rgb="FF000000"/>
      <name val="微软雅黑"/>
      <charset val="134"/>
    </font>
    <font>
      <sz val="14"/>
      <color rgb="FFFF0000"/>
      <name val="微软雅黑"/>
      <charset val="134"/>
    </font>
    <font>
      <sz val="12"/>
      <color rgb="FFFF0000"/>
      <name val="微软雅黑"/>
      <charset val="134"/>
    </font>
    <font>
      <sz val="11"/>
      <color rgb="FFFFFFFF"/>
      <name val="微软雅黑"/>
      <charset val="134"/>
    </font>
    <font>
      <sz val="12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1"/>
      <color theme="1"/>
      <name val="微软雅黑"/>
      <charset val="134"/>
    </font>
    <font>
      <sz val="11"/>
      <color rgb="FF7F7F7F"/>
      <name val="微软雅黑"/>
      <charset val="134"/>
    </font>
    <font>
      <b/>
      <sz val="14"/>
      <color rgb="FF000000"/>
      <name val="微软雅黑"/>
      <charset val="134"/>
    </font>
    <font>
      <b/>
      <sz val="14"/>
      <color theme="1"/>
      <name val="微软雅黑"/>
      <charset val="134"/>
    </font>
    <font>
      <sz val="11"/>
      <color rgb="FFBFBFBF"/>
      <name val="微软雅黑"/>
      <charset val="134"/>
    </font>
    <font>
      <sz val="20"/>
      <color rgb="FF000000"/>
      <name val="微软雅黑"/>
      <charset val="134"/>
    </font>
    <font>
      <sz val="9"/>
      <color rgb="FF000000"/>
      <name val="微软雅黑"/>
      <charset val="134"/>
    </font>
    <font>
      <sz val="10"/>
      <color rgb="FFFF0000"/>
      <name val="微软雅黑"/>
      <charset val="134"/>
    </font>
    <font>
      <sz val="8"/>
      <color rgb="FFFF0000"/>
      <name val="微软雅黑"/>
      <charset val="134"/>
    </font>
    <font>
      <sz val="9"/>
      <color rgb="FFFF0000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000000"/>
      <name val="微软雅黑"/>
      <charset val="134"/>
    </font>
    <font>
      <sz val="10"/>
      <color rgb="FF00000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2D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E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3FD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D9D9D9"/>
      </left>
      <right/>
      <top style="medium">
        <color rgb="FFD9D9D9"/>
      </top>
      <bottom/>
      <diagonal/>
    </border>
    <border>
      <left/>
      <right style="medium">
        <color rgb="FFD9D9D9"/>
      </right>
      <top style="medium">
        <color rgb="FFD9D9D9"/>
      </top>
      <bottom/>
      <diagonal/>
    </border>
    <border>
      <left/>
      <right/>
      <top style="medium">
        <color rgb="FFD9D9D9"/>
      </top>
      <bottom/>
      <diagonal/>
    </border>
    <border>
      <left style="medium">
        <color rgb="FFD9D9D9"/>
      </left>
      <right/>
      <top/>
      <bottom/>
      <diagonal/>
    </border>
    <border>
      <left/>
      <right style="medium">
        <color rgb="FFD9D9D9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D9D9D9"/>
      </left>
      <right/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medium">
        <color rgb="FFD9D9D9"/>
      </bottom>
      <diagonal/>
    </border>
    <border>
      <left style="medium">
        <color rgb="FFD9D9D9"/>
      </left>
      <right/>
      <top/>
      <bottom style="thin">
        <color rgb="FFF2F2F2"/>
      </bottom>
      <diagonal/>
    </border>
    <border>
      <left/>
      <right/>
      <top/>
      <bottom style="thin">
        <color rgb="FFF2F2F2"/>
      </bottom>
      <diagonal/>
    </border>
    <border>
      <left/>
      <right style="medium">
        <color rgb="FFD9D9D9"/>
      </right>
      <top/>
      <bottom style="thin">
        <color rgb="FFF2F2F2"/>
      </bottom>
      <diagonal/>
    </border>
    <border>
      <left style="medium">
        <color rgb="FFD9D9D9"/>
      </left>
      <right/>
      <top/>
      <bottom style="thin">
        <color rgb="FFD9D9D9"/>
      </bottom>
      <diagonal/>
    </border>
    <border>
      <left/>
      <right style="medium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4B183"/>
      </left>
      <right style="thin">
        <color rgb="FFF4B183"/>
      </right>
      <top style="thin">
        <color rgb="FFF4B183"/>
      </top>
      <bottom style="thin">
        <color rgb="FFF4B183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7" borderId="47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48" applyNumberFormat="0" applyFill="0" applyAlignment="0" applyProtection="0">
      <alignment vertical="center"/>
    </xf>
    <xf numFmtId="0" fontId="29" fillId="0" borderId="48" applyNumberFormat="0" applyFill="0" applyAlignment="0" applyProtection="0">
      <alignment vertical="center"/>
    </xf>
    <xf numFmtId="0" fontId="30" fillId="0" borderId="4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8" borderId="50" applyNumberFormat="0" applyAlignment="0" applyProtection="0">
      <alignment vertical="center"/>
    </xf>
    <xf numFmtId="0" fontId="32" fillId="11" borderId="51" applyNumberFormat="0" applyAlignment="0" applyProtection="0">
      <alignment vertical="center"/>
    </xf>
    <xf numFmtId="0" fontId="33" fillId="11" borderId="50" applyNumberFormat="0" applyAlignment="0" applyProtection="0">
      <alignment vertical="center"/>
    </xf>
    <xf numFmtId="0" fontId="34" fillId="19" borderId="52" applyNumberFormat="0" applyAlignment="0" applyProtection="0">
      <alignment vertical="center"/>
    </xf>
    <xf numFmtId="0" fontId="35" fillId="0" borderId="53" applyNumberFormat="0" applyFill="0" applyAlignment="0" applyProtection="0">
      <alignment vertical="center"/>
    </xf>
    <xf numFmtId="0" fontId="36" fillId="0" borderId="54" applyNumberFormat="0" applyFill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</cellStyleXfs>
  <cellXfs count="187">
    <xf numFmtId="0" fontId="0" fillId="0" borderId="0" xfId="0">
      <alignment vertical="center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5" fontId="1" fillId="2" borderId="0" xfId="0" applyNumberFormat="1" applyFont="1" applyFill="1" applyAlignment="1">
      <alignment horizontal="left" vertical="center"/>
    </xf>
    <xf numFmtId="0" fontId="1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5" fontId="2" fillId="5" borderId="1" xfId="0" applyNumberFormat="1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5" fontId="3" fillId="7" borderId="1" xfId="0" applyNumberFormat="1" applyFont="1" applyFill="1" applyBorder="1" applyAlignment="1">
      <alignment horizontal="left" vertical="center"/>
    </xf>
    <xf numFmtId="5" fontId="1" fillId="7" borderId="1" xfId="0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5" fontId="1" fillId="8" borderId="1" xfId="0" applyNumberFormat="1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left" vertical="center"/>
    </xf>
    <xf numFmtId="0" fontId="1" fillId="8" borderId="2" xfId="0" applyFont="1" applyFill="1" applyBorder="1" applyAlignment="1">
      <alignment horizontal="left" vertical="center"/>
    </xf>
    <xf numFmtId="5" fontId="3" fillId="8" borderId="1" xfId="0" applyNumberFormat="1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5" fontId="2" fillId="7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5" fontId="2" fillId="8" borderId="1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5" fontId="1" fillId="6" borderId="1" xfId="0" applyNumberFormat="1" applyFont="1" applyFill="1" applyBorder="1" applyAlignment="1">
      <alignment horizontal="left" vertical="center"/>
    </xf>
    <xf numFmtId="0" fontId="1" fillId="11" borderId="0" xfId="0" applyFont="1" applyFill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7" fillId="13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left" vertical="center" wrapText="1"/>
    </xf>
    <xf numFmtId="0" fontId="8" fillId="11" borderId="0" xfId="0" applyFont="1" applyFill="1" applyAlignment="1">
      <alignment horizontal="left" vertical="center"/>
    </xf>
    <xf numFmtId="0" fontId="2" fillId="11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0" fontId="2" fillId="11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left" vertical="center"/>
    </xf>
    <xf numFmtId="0" fontId="1" fillId="11" borderId="8" xfId="0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" fillId="10" borderId="19" xfId="0" applyFont="1" applyFill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/>
    </xf>
    <xf numFmtId="0" fontId="9" fillId="10" borderId="21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0" fillId="11" borderId="0" xfId="0" applyFont="1" applyFill="1" applyBorder="1" applyAlignment="1">
      <alignment horizontal="center" vertical="center"/>
    </xf>
    <xf numFmtId="0" fontId="6" fillId="11" borderId="0" xfId="0" applyFon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3" fillId="11" borderId="0" xfId="0" applyFont="1" applyFill="1" applyBorder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2" fillId="6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3" fillId="11" borderId="0" xfId="0" applyFont="1" applyFill="1" applyBorder="1" applyAlignment="1">
      <alignment horizontal="right" vertical="center"/>
    </xf>
    <xf numFmtId="0" fontId="1" fillId="6" borderId="26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2" fillId="11" borderId="14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1" fillId="13" borderId="14" xfId="0" applyFont="1" applyFill="1" applyBorder="1" applyAlignment="1">
      <alignment horizontal="center" vertical="center"/>
    </xf>
    <xf numFmtId="0" fontId="1" fillId="13" borderId="0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" fillId="13" borderId="15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178" fontId="2" fillId="0" borderId="15" xfId="0" applyNumberFormat="1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11" borderId="14" xfId="0" applyFont="1" applyFill="1" applyBorder="1" applyAlignment="1">
      <alignment horizontal="left" vertical="center"/>
    </xf>
    <xf numFmtId="0" fontId="2" fillId="11" borderId="15" xfId="0" applyFont="1" applyFill="1" applyBorder="1" applyAlignment="1">
      <alignment horizontal="left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center" vertical="center"/>
    </xf>
    <xf numFmtId="0" fontId="16" fillId="6" borderId="28" xfId="0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1" fillId="6" borderId="30" xfId="0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7" fillId="6" borderId="32" xfId="0" applyFont="1" applyFill="1" applyBorder="1" applyAlignment="1">
      <alignment horizontal="center" vertical="center"/>
    </xf>
    <xf numFmtId="0" fontId="17" fillId="6" borderId="25" xfId="0" applyFont="1" applyFill="1" applyBorder="1" applyAlignment="1">
      <alignment horizontal="center" vertical="center"/>
    </xf>
    <xf numFmtId="0" fontId="17" fillId="6" borderId="33" xfId="0" applyFont="1" applyFill="1" applyBorder="1" applyAlignment="1">
      <alignment horizontal="center" vertical="center"/>
    </xf>
    <xf numFmtId="0" fontId="17" fillId="6" borderId="34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7" fillId="6" borderId="35" xfId="0" applyFont="1" applyFill="1" applyBorder="1" applyAlignment="1">
      <alignment horizontal="center" vertical="center"/>
    </xf>
    <xf numFmtId="0" fontId="17" fillId="6" borderId="36" xfId="0" applyFont="1" applyFill="1" applyBorder="1" applyAlignment="1">
      <alignment horizontal="center" vertical="center"/>
    </xf>
    <xf numFmtId="0" fontId="17" fillId="6" borderId="24" xfId="0" applyFont="1" applyFill="1" applyBorder="1" applyAlignment="1">
      <alignment horizontal="center" vertical="center"/>
    </xf>
    <xf numFmtId="0" fontId="17" fillId="6" borderId="37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left" vertical="center"/>
    </xf>
    <xf numFmtId="10" fontId="1" fillId="6" borderId="0" xfId="0" applyNumberFormat="1" applyFont="1" applyFill="1" applyAlignment="1">
      <alignment horizontal="center" vertical="center"/>
    </xf>
    <xf numFmtId="10" fontId="1" fillId="6" borderId="15" xfId="0" applyNumberFormat="1" applyFont="1" applyFill="1" applyBorder="1" applyAlignment="1">
      <alignment horizontal="center" vertical="center"/>
    </xf>
    <xf numFmtId="0" fontId="1" fillId="6" borderId="38" xfId="0" applyFont="1" applyFill="1" applyBorder="1" applyAlignment="1">
      <alignment horizontal="center" vertical="center"/>
    </xf>
    <xf numFmtId="0" fontId="1" fillId="6" borderId="39" xfId="0" applyFont="1" applyFill="1" applyBorder="1" applyAlignment="1">
      <alignment horizontal="center" vertical="center"/>
    </xf>
    <xf numFmtId="0" fontId="6" fillId="10" borderId="40" xfId="0" applyFont="1" applyFill="1" applyBorder="1" applyAlignment="1">
      <alignment horizontal="center" vertical="center" wrapText="1"/>
    </xf>
    <xf numFmtId="0" fontId="2" fillId="10" borderId="40" xfId="0" applyFont="1" applyFill="1" applyBorder="1" applyAlignment="1">
      <alignment horizontal="center" vertical="center" wrapText="1"/>
    </xf>
    <xf numFmtId="0" fontId="6" fillId="13" borderId="41" xfId="0" applyFont="1" applyFill="1" applyBorder="1" applyAlignment="1">
      <alignment horizontal="center" vertical="center" wrapText="1"/>
    </xf>
    <xf numFmtId="0" fontId="2" fillId="13" borderId="41" xfId="0" applyFont="1" applyFill="1" applyBorder="1" applyAlignment="1">
      <alignment horizontal="center" vertical="center" wrapText="1"/>
    </xf>
    <xf numFmtId="0" fontId="18" fillId="14" borderId="42" xfId="0" applyFont="1" applyFill="1" applyBorder="1" applyAlignment="1">
      <alignment horizontal="center" vertical="center" wrapText="1"/>
    </xf>
    <xf numFmtId="0" fontId="2" fillId="6" borderId="42" xfId="0" applyFont="1" applyFill="1" applyBorder="1" applyAlignment="1">
      <alignment horizontal="center" vertical="center"/>
    </xf>
    <xf numFmtId="0" fontId="19" fillId="6" borderId="42" xfId="0" applyFont="1" applyFill="1" applyBorder="1" applyAlignment="1">
      <alignment horizontal="center" vertical="center"/>
    </xf>
    <xf numFmtId="0" fontId="18" fillId="14" borderId="42" xfId="0" applyFont="1" applyFill="1" applyBorder="1" applyAlignment="1">
      <alignment horizontal="center" vertical="top" wrapText="1"/>
    </xf>
    <xf numFmtId="0" fontId="18" fillId="8" borderId="42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center" vertical="center"/>
    </xf>
    <xf numFmtId="0" fontId="20" fillId="8" borderId="42" xfId="0" applyFont="1" applyFill="1" applyBorder="1" applyAlignment="1">
      <alignment horizontal="center" vertical="center"/>
    </xf>
    <xf numFmtId="0" fontId="21" fillId="6" borderId="42" xfId="0" applyFont="1" applyFill="1" applyBorder="1" applyAlignment="1">
      <alignment horizontal="center" vertical="center"/>
    </xf>
    <xf numFmtId="0" fontId="20" fillId="6" borderId="42" xfId="0" applyFont="1" applyFill="1" applyBorder="1" applyAlignment="1">
      <alignment horizontal="center" vertical="center" wrapText="1"/>
    </xf>
    <xf numFmtId="0" fontId="2" fillId="8" borderId="42" xfId="0" applyFont="1" applyFill="1" applyBorder="1" applyAlignment="1">
      <alignment horizontal="center" vertical="center"/>
    </xf>
    <xf numFmtId="0" fontId="18" fillId="14" borderId="42" xfId="0" applyFont="1" applyFill="1" applyBorder="1" applyAlignment="1">
      <alignment horizontal="left" vertical="top" wrapText="1"/>
    </xf>
    <xf numFmtId="0" fontId="1" fillId="6" borderId="43" xfId="0" applyFont="1" applyFill="1" applyBorder="1" applyAlignment="1">
      <alignment horizontal="center" vertical="center"/>
    </xf>
    <xf numFmtId="0" fontId="1" fillId="6" borderId="44" xfId="0" applyFont="1" applyFill="1" applyBorder="1" applyAlignment="1">
      <alignment horizontal="center" vertical="center"/>
    </xf>
    <xf numFmtId="0" fontId="1" fillId="6" borderId="45" xfId="0" applyFont="1" applyFill="1" applyBorder="1" applyAlignment="1">
      <alignment horizontal="center" vertical="center"/>
    </xf>
    <xf numFmtId="0" fontId="18" fillId="14" borderId="46" xfId="0" applyFont="1" applyFill="1" applyBorder="1" applyAlignment="1">
      <alignment horizontal="center" vertical="center" wrapText="1"/>
    </xf>
    <xf numFmtId="0" fontId="18" fillId="15" borderId="46" xfId="0" applyFont="1" applyFill="1" applyBorder="1" applyAlignment="1">
      <alignment horizontal="center" vertical="center" wrapText="1"/>
    </xf>
    <xf numFmtId="0" fontId="2" fillId="6" borderId="46" xfId="0" applyFont="1" applyFill="1" applyBorder="1" applyAlignment="1">
      <alignment horizontal="center" vertical="center"/>
    </xf>
    <xf numFmtId="0" fontId="1" fillId="6" borderId="46" xfId="0" applyFont="1" applyFill="1" applyBorder="1" applyAlignment="1">
      <alignment horizontal="center" vertical="center"/>
    </xf>
    <xf numFmtId="0" fontId="21" fillId="6" borderId="46" xfId="0" applyFont="1" applyFill="1" applyBorder="1" applyAlignment="1">
      <alignment horizontal="center" vertical="center" wrapText="1"/>
    </xf>
    <xf numFmtId="0" fontId="22" fillId="10" borderId="40" xfId="0" applyFont="1" applyFill="1" applyBorder="1" applyAlignment="1">
      <alignment horizontal="center" vertical="center" wrapText="1"/>
    </xf>
    <xf numFmtId="0" fontId="18" fillId="16" borderId="46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left" vertical="center"/>
    </xf>
    <xf numFmtId="0" fontId="1" fillId="8" borderId="0" xfId="0" applyFont="1" applyFill="1" applyAlignment="1">
      <alignment horizontal="center" vertical="center"/>
    </xf>
    <xf numFmtId="0" fontId="18" fillId="8" borderId="46" xfId="0" applyFont="1" applyFill="1" applyBorder="1" applyAlignment="1">
      <alignment horizontal="center" vertical="center" wrapText="1"/>
    </xf>
    <xf numFmtId="0" fontId="2" fillId="8" borderId="46" xfId="0" applyFont="1" applyFill="1" applyBorder="1" applyAlignment="1">
      <alignment horizontal="center" vertical="center"/>
    </xf>
    <xf numFmtId="0" fontId="1" fillId="8" borderId="4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colors>
    <mruColors>
      <color rgb="0032D4D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9D9D9"/>
  </sheetPr>
  <dimension ref="B2:AB199"/>
  <sheetViews>
    <sheetView workbookViewId="0">
      <selection activeCell="T93" sqref="T93:V100"/>
    </sheetView>
  </sheetViews>
  <sheetFormatPr defaultColWidth="7.875" defaultRowHeight="16.5"/>
  <cols>
    <col min="1" max="1" width="7.875" style="59" customWidth="1"/>
    <col min="2" max="2" width="4.65833333333333" style="59" customWidth="1"/>
    <col min="3" max="16383" width="7.875" style="59" customWidth="1"/>
    <col min="16384" max="16384" width="7.875" style="59"/>
  </cols>
  <sheetData>
    <row r="2" spans="2:28">
      <c r="B2" s="155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70"/>
    </row>
    <row r="3" ht="22.5" spans="2:28">
      <c r="B3" s="156"/>
      <c r="C3" s="40" t="s">
        <v>0</v>
      </c>
      <c r="D3" s="40"/>
      <c r="E3" s="40"/>
      <c r="AB3" s="79"/>
    </row>
    <row r="4" spans="2:28">
      <c r="B4" s="156"/>
      <c r="AB4" s="79"/>
    </row>
    <row r="5" spans="2:28">
      <c r="B5" s="156"/>
      <c r="C5" s="42" t="s">
        <v>1</v>
      </c>
      <c r="D5" s="42"/>
      <c r="F5" s="42" t="s">
        <v>2</v>
      </c>
      <c r="G5" s="42"/>
      <c r="H5" s="42"/>
      <c r="AB5" s="79"/>
    </row>
    <row r="6" spans="2:28">
      <c r="B6" s="156"/>
      <c r="AB6" s="79"/>
    </row>
    <row r="7" spans="2:28">
      <c r="B7" s="156"/>
      <c r="C7" s="157" t="s">
        <v>3</v>
      </c>
      <c r="D7" s="157"/>
      <c r="E7" s="157"/>
      <c r="G7" s="157" t="s">
        <v>4</v>
      </c>
      <c r="H7" s="158"/>
      <c r="I7" s="158"/>
      <c r="K7" s="157" t="s">
        <v>5</v>
      </c>
      <c r="L7" s="157"/>
      <c r="M7" s="157"/>
      <c r="O7" s="157" t="s">
        <v>6</v>
      </c>
      <c r="P7" s="158"/>
      <c r="Q7" s="158"/>
      <c r="S7" s="157" t="s">
        <v>7</v>
      </c>
      <c r="T7" s="158"/>
      <c r="U7" s="158"/>
      <c r="AB7" s="79"/>
    </row>
    <row r="8" spans="2:28">
      <c r="B8" s="156"/>
      <c r="C8" s="157"/>
      <c r="D8" s="157"/>
      <c r="E8" s="157"/>
      <c r="G8" s="158"/>
      <c r="H8" s="158"/>
      <c r="I8" s="158"/>
      <c r="K8" s="157"/>
      <c r="L8" s="157"/>
      <c r="M8" s="157"/>
      <c r="O8" s="158"/>
      <c r="P8" s="158"/>
      <c r="Q8" s="158"/>
      <c r="S8" s="158"/>
      <c r="T8" s="158"/>
      <c r="U8" s="158"/>
      <c r="AB8" s="79"/>
    </row>
    <row r="9" spans="2:28">
      <c r="B9" s="156"/>
      <c r="C9" s="157"/>
      <c r="D9" s="157"/>
      <c r="E9" s="157"/>
      <c r="G9" s="158"/>
      <c r="H9" s="158"/>
      <c r="I9" s="158"/>
      <c r="K9" s="157"/>
      <c r="L9" s="157"/>
      <c r="M9" s="157"/>
      <c r="O9" s="158"/>
      <c r="P9" s="158"/>
      <c r="Q9" s="158"/>
      <c r="S9" s="158"/>
      <c r="T9" s="158"/>
      <c r="U9" s="158"/>
      <c r="AB9" s="79"/>
    </row>
    <row r="10" spans="2:28">
      <c r="B10" s="156"/>
      <c r="C10" s="157"/>
      <c r="D10" s="157"/>
      <c r="E10" s="157"/>
      <c r="G10" s="158"/>
      <c r="H10" s="158"/>
      <c r="I10" s="158"/>
      <c r="K10" s="157"/>
      <c r="L10" s="157"/>
      <c r="M10" s="157"/>
      <c r="O10" s="158"/>
      <c r="P10" s="158"/>
      <c r="Q10" s="158"/>
      <c r="S10" s="158"/>
      <c r="T10" s="158"/>
      <c r="U10" s="158"/>
      <c r="AB10" s="79"/>
    </row>
    <row r="11" spans="2:28">
      <c r="B11" s="156"/>
      <c r="C11" s="157"/>
      <c r="D11" s="157"/>
      <c r="E11" s="157"/>
      <c r="G11" s="158"/>
      <c r="H11" s="158"/>
      <c r="I11" s="158"/>
      <c r="K11" s="157"/>
      <c r="L11" s="157"/>
      <c r="M11" s="157"/>
      <c r="O11" s="158"/>
      <c r="P11" s="158"/>
      <c r="Q11" s="158"/>
      <c r="S11" s="158"/>
      <c r="T11" s="158"/>
      <c r="U11" s="158"/>
      <c r="AB11" s="79"/>
    </row>
    <row r="12" spans="2:28">
      <c r="B12" s="156"/>
      <c r="AB12" s="79"/>
    </row>
    <row r="13" spans="2:28">
      <c r="B13" s="156"/>
      <c r="C13" s="159" t="s">
        <v>8</v>
      </c>
      <c r="D13" s="160"/>
      <c r="E13" s="160"/>
      <c r="G13" s="159" t="s">
        <v>9</v>
      </c>
      <c r="H13" s="160"/>
      <c r="I13" s="160"/>
      <c r="K13" s="160" t="s">
        <v>10</v>
      </c>
      <c r="L13" s="160"/>
      <c r="M13" s="160"/>
      <c r="O13" s="160" t="s">
        <v>11</v>
      </c>
      <c r="P13" s="160"/>
      <c r="Q13" s="160"/>
      <c r="AB13" s="79"/>
    </row>
    <row r="14" spans="2:28">
      <c r="B14" s="156"/>
      <c r="C14" s="160"/>
      <c r="D14" s="160"/>
      <c r="E14" s="160"/>
      <c r="G14" s="160"/>
      <c r="H14" s="160"/>
      <c r="I14" s="160"/>
      <c r="K14" s="160"/>
      <c r="L14" s="160"/>
      <c r="M14" s="160"/>
      <c r="O14" s="160"/>
      <c r="P14" s="160"/>
      <c r="Q14" s="160"/>
      <c r="AB14" s="79"/>
    </row>
    <row r="15" spans="2:28">
      <c r="B15" s="156"/>
      <c r="C15" s="160"/>
      <c r="D15" s="160"/>
      <c r="E15" s="160"/>
      <c r="G15" s="160"/>
      <c r="H15" s="160"/>
      <c r="I15" s="160"/>
      <c r="K15" s="160"/>
      <c r="L15" s="160"/>
      <c r="M15" s="160"/>
      <c r="O15" s="160"/>
      <c r="P15" s="160"/>
      <c r="Q15" s="160"/>
      <c r="AB15" s="79"/>
    </row>
    <row r="16" spans="2:28">
      <c r="B16" s="156"/>
      <c r="C16" s="160"/>
      <c r="D16" s="160"/>
      <c r="E16" s="160"/>
      <c r="G16" s="160"/>
      <c r="H16" s="160"/>
      <c r="I16" s="160"/>
      <c r="K16" s="160"/>
      <c r="L16" s="160"/>
      <c r="M16" s="160"/>
      <c r="O16" s="160"/>
      <c r="P16" s="160"/>
      <c r="Q16" s="160"/>
      <c r="AB16" s="79"/>
    </row>
    <row r="17" spans="2:28">
      <c r="B17" s="156"/>
      <c r="C17" s="160"/>
      <c r="D17" s="160"/>
      <c r="E17" s="160"/>
      <c r="G17" s="160"/>
      <c r="H17" s="160"/>
      <c r="I17" s="160"/>
      <c r="K17" s="160"/>
      <c r="L17" s="160"/>
      <c r="M17" s="160"/>
      <c r="O17" s="160"/>
      <c r="P17" s="160"/>
      <c r="Q17" s="160"/>
      <c r="AB17" s="79"/>
    </row>
    <row r="18" spans="2:28">
      <c r="B18" s="156"/>
      <c r="AB18" s="79"/>
    </row>
    <row r="19" spans="2:28">
      <c r="B19" s="156"/>
      <c r="C19" s="107" t="s">
        <v>12</v>
      </c>
      <c r="AB19" s="79"/>
    </row>
    <row r="20" ht="28.5" spans="2:28">
      <c r="B20" s="156"/>
      <c r="C20" s="161" t="s">
        <v>13</v>
      </c>
      <c r="D20" s="161" t="s">
        <v>14</v>
      </c>
      <c r="E20" s="161" t="s">
        <v>15</v>
      </c>
      <c r="F20" s="161" t="s">
        <v>16</v>
      </c>
      <c r="G20" s="161" t="s">
        <v>17</v>
      </c>
      <c r="H20" s="161" t="s">
        <v>18</v>
      </c>
      <c r="I20" s="161" t="s">
        <v>19</v>
      </c>
      <c r="J20" s="161" t="s">
        <v>20</v>
      </c>
      <c r="K20" s="161" t="s">
        <v>21</v>
      </c>
      <c r="L20" s="161" t="s">
        <v>22</v>
      </c>
      <c r="M20" s="161" t="s">
        <v>23</v>
      </c>
      <c r="N20" s="161" t="s">
        <v>24</v>
      </c>
      <c r="O20" s="161" t="s">
        <v>25</v>
      </c>
      <c r="AB20" s="79"/>
    </row>
    <row r="21" spans="2:28">
      <c r="B21" s="156"/>
      <c r="C21" s="162" t="s">
        <v>26</v>
      </c>
      <c r="D21" s="162" t="s">
        <v>26</v>
      </c>
      <c r="E21" s="162" t="s">
        <v>26</v>
      </c>
      <c r="F21" s="162" t="s">
        <v>26</v>
      </c>
      <c r="G21" s="163" t="s">
        <v>27</v>
      </c>
      <c r="H21" s="162" t="s">
        <v>26</v>
      </c>
      <c r="I21" s="163" t="s">
        <v>28</v>
      </c>
      <c r="J21" s="162" t="s">
        <v>26</v>
      </c>
      <c r="K21" s="162" t="s">
        <v>26</v>
      </c>
      <c r="L21" s="162" t="s">
        <v>26</v>
      </c>
      <c r="M21" s="162" t="s">
        <v>26</v>
      </c>
      <c r="N21" s="162" t="s">
        <v>26</v>
      </c>
      <c r="O21" s="162" t="s">
        <v>26</v>
      </c>
      <c r="P21" s="67"/>
      <c r="Q21" s="67"/>
      <c r="R21" s="67"/>
      <c r="S21" s="67"/>
      <c r="AB21" s="79"/>
    </row>
    <row r="22" spans="2:28">
      <c r="B22" s="156"/>
      <c r="C22" s="162" t="s">
        <v>26</v>
      </c>
      <c r="D22" s="162" t="s">
        <v>26</v>
      </c>
      <c r="E22" s="162" t="s">
        <v>26</v>
      </c>
      <c r="F22" s="162" t="s">
        <v>26</v>
      </c>
      <c r="G22" s="162" t="s">
        <v>26</v>
      </c>
      <c r="H22" s="162" t="s">
        <v>26</v>
      </c>
      <c r="I22" s="162" t="s">
        <v>26</v>
      </c>
      <c r="J22" s="162" t="s">
        <v>26</v>
      </c>
      <c r="K22" s="162" t="s">
        <v>26</v>
      </c>
      <c r="L22" s="162" t="s">
        <v>26</v>
      </c>
      <c r="M22" s="162" t="s">
        <v>26</v>
      </c>
      <c r="N22" s="162" t="s">
        <v>26</v>
      </c>
      <c r="O22" s="162" t="s">
        <v>26</v>
      </c>
      <c r="P22" s="67"/>
      <c r="Q22" s="67"/>
      <c r="R22" s="67"/>
      <c r="S22" s="67"/>
      <c r="AB22" s="79"/>
    </row>
    <row r="23" spans="2:28">
      <c r="B23" s="156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AB23" s="79"/>
    </row>
    <row r="24" ht="28.5" spans="2:28">
      <c r="B24" s="156"/>
      <c r="C24" s="161" t="s">
        <v>13</v>
      </c>
      <c r="D24" s="164" t="s">
        <v>29</v>
      </c>
      <c r="E24" s="164" t="s">
        <v>30</v>
      </c>
      <c r="F24" s="164" t="s">
        <v>31</v>
      </c>
      <c r="G24" s="164" t="s">
        <v>32</v>
      </c>
      <c r="H24" s="164" t="s">
        <v>33</v>
      </c>
      <c r="I24" s="164" t="s">
        <v>34</v>
      </c>
      <c r="J24" s="161" t="s">
        <v>35</v>
      </c>
      <c r="K24" s="161" t="s">
        <v>36</v>
      </c>
      <c r="L24" s="165" t="s">
        <v>37</v>
      </c>
      <c r="M24" s="161" t="s">
        <v>38</v>
      </c>
      <c r="N24" s="161" t="s">
        <v>39</v>
      </c>
      <c r="O24" s="161" t="s">
        <v>40</v>
      </c>
      <c r="P24" s="165" t="s">
        <v>41</v>
      </c>
      <c r="Q24" s="161" t="s">
        <v>42</v>
      </c>
      <c r="R24" s="161" t="s">
        <v>43</v>
      </c>
      <c r="S24" s="161" t="s">
        <v>44</v>
      </c>
      <c r="AB24" s="79"/>
    </row>
    <row r="25" ht="27" spans="2:28">
      <c r="B25" s="156"/>
      <c r="C25" s="162" t="s">
        <v>26</v>
      </c>
      <c r="D25" s="162" t="s">
        <v>26</v>
      </c>
      <c r="E25" s="162" t="s">
        <v>26</v>
      </c>
      <c r="F25" s="162" t="s">
        <v>26</v>
      </c>
      <c r="G25" s="162" t="s">
        <v>26</v>
      </c>
      <c r="H25" s="162" t="s">
        <v>26</v>
      </c>
      <c r="I25" s="162" t="s">
        <v>26</v>
      </c>
      <c r="J25" s="166" t="s">
        <v>45</v>
      </c>
      <c r="K25" s="166" t="s">
        <v>45</v>
      </c>
      <c r="L25" s="167" t="s">
        <v>46</v>
      </c>
      <c r="M25" s="168" t="s">
        <v>47</v>
      </c>
      <c r="N25" s="169" t="s">
        <v>48</v>
      </c>
      <c r="O25" s="169" t="s">
        <v>49</v>
      </c>
      <c r="P25" s="170" t="s">
        <v>26</v>
      </c>
      <c r="Q25" s="162" t="s">
        <v>26</v>
      </c>
      <c r="R25" s="162" t="s">
        <v>26</v>
      </c>
      <c r="S25" s="169" t="s">
        <v>50</v>
      </c>
      <c r="AB25" s="79"/>
    </row>
    <row r="26" spans="2:28">
      <c r="B26" s="156"/>
      <c r="C26" s="162" t="s">
        <v>26</v>
      </c>
      <c r="D26" s="162" t="s">
        <v>26</v>
      </c>
      <c r="E26" s="162" t="s">
        <v>26</v>
      </c>
      <c r="F26" s="162" t="s">
        <v>26</v>
      </c>
      <c r="G26" s="162" t="s">
        <v>26</v>
      </c>
      <c r="H26" s="162" t="s">
        <v>26</v>
      </c>
      <c r="I26" s="162" t="s">
        <v>26</v>
      </c>
      <c r="J26" s="162" t="s">
        <v>26</v>
      </c>
      <c r="K26" s="162" t="s">
        <v>26</v>
      </c>
      <c r="L26" s="170" t="s">
        <v>26</v>
      </c>
      <c r="M26" s="162" t="s">
        <v>26</v>
      </c>
      <c r="N26" s="162" t="s">
        <v>26</v>
      </c>
      <c r="O26" s="162" t="s">
        <v>26</v>
      </c>
      <c r="P26" s="170" t="s">
        <v>26</v>
      </c>
      <c r="Q26" s="162" t="s">
        <v>26</v>
      </c>
      <c r="R26" s="162" t="s">
        <v>26</v>
      </c>
      <c r="S26" s="162" t="s">
        <v>26</v>
      </c>
      <c r="AB26" s="79"/>
    </row>
    <row r="27" spans="2:28">
      <c r="B27" s="156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AB27" s="79"/>
    </row>
    <row r="28" spans="2:28">
      <c r="B28" s="156"/>
      <c r="C28" s="107" t="s">
        <v>51</v>
      </c>
      <c r="N28" s="67"/>
      <c r="AB28" s="79"/>
    </row>
    <row r="29" ht="28.5" spans="2:28">
      <c r="B29" s="156"/>
      <c r="C29" s="161" t="s">
        <v>52</v>
      </c>
      <c r="D29" s="161" t="s">
        <v>52</v>
      </c>
      <c r="E29" s="161" t="s">
        <v>14</v>
      </c>
      <c r="F29" s="161" t="s">
        <v>15</v>
      </c>
      <c r="G29" s="161" t="s">
        <v>16</v>
      </c>
      <c r="H29" s="161" t="s">
        <v>17</v>
      </c>
      <c r="I29" s="161" t="s">
        <v>18</v>
      </c>
      <c r="J29" s="161" t="s">
        <v>19</v>
      </c>
      <c r="K29" s="161" t="s">
        <v>20</v>
      </c>
      <c r="L29" s="161" t="s">
        <v>21</v>
      </c>
      <c r="M29" s="161" t="s">
        <v>22</v>
      </c>
      <c r="N29" s="161" t="s">
        <v>23</v>
      </c>
      <c r="O29" s="161" t="s">
        <v>24</v>
      </c>
      <c r="P29" s="161" t="s">
        <v>25</v>
      </c>
      <c r="AB29" s="79"/>
    </row>
    <row r="30" spans="2:28">
      <c r="B30" s="156"/>
      <c r="C30" s="162" t="s">
        <v>26</v>
      </c>
      <c r="D30" s="162" t="s">
        <v>26</v>
      </c>
      <c r="E30" s="162" t="s">
        <v>26</v>
      </c>
      <c r="F30" s="162" t="s">
        <v>26</v>
      </c>
      <c r="G30" s="162" t="s">
        <v>26</v>
      </c>
      <c r="H30" s="163" t="s">
        <v>27</v>
      </c>
      <c r="I30" s="162" t="s">
        <v>26</v>
      </c>
      <c r="J30" s="163" t="s">
        <v>28</v>
      </c>
      <c r="K30" s="162" t="s">
        <v>26</v>
      </c>
      <c r="L30" s="162" t="s">
        <v>26</v>
      </c>
      <c r="M30" s="162" t="s">
        <v>26</v>
      </c>
      <c r="N30" s="162" t="s">
        <v>26</v>
      </c>
      <c r="O30" s="162" t="s">
        <v>26</v>
      </c>
      <c r="P30" s="162" t="s">
        <v>26</v>
      </c>
      <c r="Q30" s="67"/>
      <c r="R30" s="67"/>
      <c r="S30" s="67"/>
      <c r="AB30" s="79"/>
    </row>
    <row r="31" spans="2:28">
      <c r="B31" s="156"/>
      <c r="C31" s="162" t="s">
        <v>26</v>
      </c>
      <c r="D31" s="162" t="s">
        <v>26</v>
      </c>
      <c r="E31" s="162" t="s">
        <v>26</v>
      </c>
      <c r="F31" s="162" t="s">
        <v>26</v>
      </c>
      <c r="G31" s="162" t="s">
        <v>26</v>
      </c>
      <c r="H31" s="162" t="s">
        <v>26</v>
      </c>
      <c r="I31" s="162" t="s">
        <v>26</v>
      </c>
      <c r="J31" s="162" t="s">
        <v>26</v>
      </c>
      <c r="K31" s="162" t="s">
        <v>26</v>
      </c>
      <c r="L31" s="162" t="s">
        <v>26</v>
      </c>
      <c r="M31" s="162" t="s">
        <v>26</v>
      </c>
      <c r="N31" s="162" t="s">
        <v>26</v>
      </c>
      <c r="O31" s="162" t="s">
        <v>26</v>
      </c>
      <c r="P31" s="162" t="s">
        <v>26</v>
      </c>
      <c r="Q31" s="67"/>
      <c r="R31" s="67"/>
      <c r="S31" s="67"/>
      <c r="AB31" s="79"/>
    </row>
    <row r="32" spans="2:28">
      <c r="B32" s="156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AB32" s="79"/>
    </row>
    <row r="33" ht="28.5" spans="2:28">
      <c r="B33" s="156"/>
      <c r="C33" s="161" t="s">
        <v>13</v>
      </c>
      <c r="D33" s="161" t="s">
        <v>52</v>
      </c>
      <c r="E33" s="171" t="s">
        <v>53</v>
      </c>
      <c r="F33" s="171" t="s">
        <v>54</v>
      </c>
      <c r="G33" s="171" t="s">
        <v>55</v>
      </c>
      <c r="H33" s="171" t="s">
        <v>56</v>
      </c>
      <c r="I33" s="171" t="s">
        <v>57</v>
      </c>
      <c r="J33" s="171" t="s">
        <v>58</v>
      </c>
      <c r="K33" s="161" t="s">
        <v>35</v>
      </c>
      <c r="L33" s="161" t="s">
        <v>36</v>
      </c>
      <c r="M33" s="161" t="s">
        <v>37</v>
      </c>
      <c r="N33" s="161" t="s">
        <v>38</v>
      </c>
      <c r="O33" s="161" t="s">
        <v>39</v>
      </c>
      <c r="P33" s="161" t="s">
        <v>40</v>
      </c>
      <c r="Q33" s="161" t="s">
        <v>59</v>
      </c>
      <c r="R33" s="161" t="s">
        <v>60</v>
      </c>
      <c r="S33" s="161" t="s">
        <v>43</v>
      </c>
      <c r="T33" s="161" t="s">
        <v>44</v>
      </c>
      <c r="AB33" s="79"/>
    </row>
    <row r="34" ht="27" spans="2:28">
      <c r="B34" s="156"/>
      <c r="C34" s="162" t="s">
        <v>26</v>
      </c>
      <c r="D34" s="162" t="s">
        <v>26</v>
      </c>
      <c r="E34" s="162" t="s">
        <v>26</v>
      </c>
      <c r="F34" s="162" t="s">
        <v>26</v>
      </c>
      <c r="G34" s="162" t="s">
        <v>26</v>
      </c>
      <c r="H34" s="162" t="s">
        <v>26</v>
      </c>
      <c r="I34" s="162" t="s">
        <v>26</v>
      </c>
      <c r="J34" s="162" t="s">
        <v>26</v>
      </c>
      <c r="K34" s="166" t="s">
        <v>45</v>
      </c>
      <c r="L34" s="166" t="s">
        <v>45</v>
      </c>
      <c r="M34" s="166" t="s">
        <v>46</v>
      </c>
      <c r="N34" s="168" t="s">
        <v>47</v>
      </c>
      <c r="O34" s="169" t="s">
        <v>48</v>
      </c>
      <c r="P34" s="169" t="s">
        <v>49</v>
      </c>
      <c r="Q34" s="162" t="s">
        <v>26</v>
      </c>
      <c r="R34" s="162" t="s">
        <v>26</v>
      </c>
      <c r="S34" s="162" t="s">
        <v>26</v>
      </c>
      <c r="T34" s="169" t="s">
        <v>50</v>
      </c>
      <c r="AB34" s="79"/>
    </row>
    <row r="35" spans="2:28">
      <c r="B35" s="156"/>
      <c r="C35" s="162" t="s">
        <v>26</v>
      </c>
      <c r="D35" s="162" t="s">
        <v>26</v>
      </c>
      <c r="E35" s="162" t="s">
        <v>26</v>
      </c>
      <c r="F35" s="162" t="s">
        <v>26</v>
      </c>
      <c r="G35" s="162" t="s">
        <v>26</v>
      </c>
      <c r="H35" s="162" t="s">
        <v>26</v>
      </c>
      <c r="I35" s="162" t="s">
        <v>26</v>
      </c>
      <c r="J35" s="162" t="s">
        <v>26</v>
      </c>
      <c r="K35" s="162" t="s">
        <v>26</v>
      </c>
      <c r="L35" s="162" t="s">
        <v>26</v>
      </c>
      <c r="M35" s="162" t="s">
        <v>26</v>
      </c>
      <c r="N35" s="162" t="s">
        <v>26</v>
      </c>
      <c r="O35" s="162" t="s">
        <v>26</v>
      </c>
      <c r="P35" s="162" t="s">
        <v>26</v>
      </c>
      <c r="Q35" s="162" t="s">
        <v>26</v>
      </c>
      <c r="R35" s="162" t="s">
        <v>26</v>
      </c>
      <c r="S35" s="162" t="s">
        <v>26</v>
      </c>
      <c r="T35" s="162" t="s">
        <v>26</v>
      </c>
      <c r="AB35" s="79"/>
    </row>
    <row r="36" spans="2:28">
      <c r="B36" s="156"/>
      <c r="N36" s="67"/>
      <c r="AB36" s="79"/>
    </row>
    <row r="37" ht="17.25" spans="2:28">
      <c r="B37" s="172"/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4"/>
    </row>
    <row r="39" spans="2:28">
      <c r="B39" s="155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70"/>
    </row>
    <row r="40" ht="22.5" spans="2:28">
      <c r="B40" s="156"/>
      <c r="C40" s="40" t="s">
        <v>61</v>
      </c>
      <c r="D40" s="40"/>
      <c r="E40" s="40"/>
      <c r="AB40" s="79"/>
    </row>
    <row r="41" spans="2:28">
      <c r="B41" s="156"/>
      <c r="AB41" s="79"/>
    </row>
    <row r="42" spans="2:28">
      <c r="B42" s="156"/>
      <c r="C42" s="42" t="s">
        <v>1</v>
      </c>
      <c r="D42" s="42"/>
      <c r="F42" s="42" t="s">
        <v>2</v>
      </c>
      <c r="G42" s="42"/>
      <c r="H42" s="42"/>
      <c r="AB42" s="79"/>
    </row>
    <row r="43" spans="2:28">
      <c r="B43" s="156"/>
      <c r="AB43" s="79"/>
    </row>
    <row r="44" spans="2:28">
      <c r="B44" s="156"/>
      <c r="C44" s="157" t="s">
        <v>62</v>
      </c>
      <c r="D44" s="157"/>
      <c r="E44" s="157"/>
      <c r="G44" s="157" t="s">
        <v>63</v>
      </c>
      <c r="H44" s="158"/>
      <c r="I44" s="158"/>
      <c r="K44" s="157" t="s">
        <v>64</v>
      </c>
      <c r="L44" s="157"/>
      <c r="M44" s="157"/>
      <c r="O44" s="157" t="s">
        <v>65</v>
      </c>
      <c r="P44" s="158"/>
      <c r="Q44" s="158"/>
      <c r="S44" s="157" t="s">
        <v>66</v>
      </c>
      <c r="T44" s="158"/>
      <c r="U44" s="158"/>
      <c r="AB44" s="79"/>
    </row>
    <row r="45" spans="2:28">
      <c r="B45" s="156"/>
      <c r="C45" s="157"/>
      <c r="D45" s="157"/>
      <c r="E45" s="157"/>
      <c r="G45" s="158"/>
      <c r="H45" s="158"/>
      <c r="I45" s="158"/>
      <c r="K45" s="157"/>
      <c r="L45" s="157"/>
      <c r="M45" s="157"/>
      <c r="O45" s="158"/>
      <c r="P45" s="158"/>
      <c r="Q45" s="158"/>
      <c r="S45" s="158"/>
      <c r="T45" s="158"/>
      <c r="U45" s="158"/>
      <c r="AB45" s="79"/>
    </row>
    <row r="46" spans="2:28">
      <c r="B46" s="156"/>
      <c r="C46" s="157"/>
      <c r="D46" s="157"/>
      <c r="E46" s="157"/>
      <c r="G46" s="158"/>
      <c r="H46" s="158"/>
      <c r="I46" s="158"/>
      <c r="K46" s="157"/>
      <c r="L46" s="157"/>
      <c r="M46" s="157"/>
      <c r="O46" s="158"/>
      <c r="P46" s="158"/>
      <c r="Q46" s="158"/>
      <c r="S46" s="158"/>
      <c r="T46" s="158"/>
      <c r="U46" s="158"/>
      <c r="AB46" s="79"/>
    </row>
    <row r="47" spans="2:28">
      <c r="B47" s="156"/>
      <c r="C47" s="157"/>
      <c r="D47" s="157"/>
      <c r="E47" s="157"/>
      <c r="G47" s="158"/>
      <c r="H47" s="158"/>
      <c r="I47" s="158"/>
      <c r="K47" s="157"/>
      <c r="L47" s="157"/>
      <c r="M47" s="157"/>
      <c r="O47" s="158"/>
      <c r="P47" s="158"/>
      <c r="Q47" s="158"/>
      <c r="S47" s="158"/>
      <c r="T47" s="158"/>
      <c r="U47" s="158"/>
      <c r="AB47" s="79"/>
    </row>
    <row r="48" spans="2:28">
      <c r="B48" s="156"/>
      <c r="C48" s="157"/>
      <c r="D48" s="157"/>
      <c r="E48" s="157"/>
      <c r="G48" s="158"/>
      <c r="H48" s="158"/>
      <c r="I48" s="158"/>
      <c r="K48" s="157"/>
      <c r="L48" s="157"/>
      <c r="M48" s="157"/>
      <c r="O48" s="158"/>
      <c r="P48" s="158"/>
      <c r="Q48" s="158"/>
      <c r="S48" s="158"/>
      <c r="T48" s="158"/>
      <c r="U48" s="158"/>
      <c r="AB48" s="79"/>
    </row>
    <row r="49" spans="2:28">
      <c r="B49" s="156"/>
      <c r="AB49" s="79"/>
    </row>
    <row r="50" spans="2:28">
      <c r="B50" s="156"/>
      <c r="C50" s="107" t="s">
        <v>12</v>
      </c>
      <c r="AB50" s="79"/>
    </row>
    <row r="51" ht="28.5" spans="2:28">
      <c r="B51" s="156"/>
      <c r="C51" s="175" t="s">
        <v>13</v>
      </c>
      <c r="D51" s="175" t="s">
        <v>67</v>
      </c>
      <c r="E51" s="175" t="s">
        <v>68</v>
      </c>
      <c r="F51" s="175" t="s">
        <v>69</v>
      </c>
      <c r="G51" s="175" t="s">
        <v>70</v>
      </c>
      <c r="H51" s="175" t="s">
        <v>71</v>
      </c>
      <c r="I51" s="175" t="s">
        <v>72</v>
      </c>
      <c r="J51" s="175" t="s">
        <v>73</v>
      </c>
      <c r="K51" s="175" t="s">
        <v>74</v>
      </c>
      <c r="L51" s="176" t="s">
        <v>75</v>
      </c>
      <c r="M51" s="176" t="s">
        <v>76</v>
      </c>
      <c r="N51" s="176" t="s">
        <v>77</v>
      </c>
      <c r="O51" s="176" t="s">
        <v>78</v>
      </c>
      <c r="AB51" s="79"/>
    </row>
    <row r="52" spans="2:28">
      <c r="B52" s="156"/>
      <c r="C52" s="177" t="s">
        <v>79</v>
      </c>
      <c r="D52" s="178">
        <v>8</v>
      </c>
      <c r="E52" s="178">
        <v>5</v>
      </c>
      <c r="F52" s="178">
        <v>100000</v>
      </c>
      <c r="G52" s="178">
        <v>5000</v>
      </c>
      <c r="H52" s="178">
        <f>+F52/D52</f>
        <v>12500</v>
      </c>
      <c r="I52" s="178">
        <f>+G52/D52</f>
        <v>625</v>
      </c>
      <c r="J52" s="178">
        <v>3000</v>
      </c>
      <c r="K52" s="178">
        <v>1000</v>
      </c>
      <c r="L52" s="178">
        <v>80000</v>
      </c>
      <c r="M52" s="178">
        <v>50000</v>
      </c>
      <c r="N52" s="178">
        <f>+L52/D52</f>
        <v>10000</v>
      </c>
      <c r="O52" s="178">
        <f>+M52/D52</f>
        <v>6250</v>
      </c>
      <c r="AB52" s="79"/>
    </row>
    <row r="53" spans="2:28">
      <c r="B53" s="156"/>
      <c r="C53" s="177" t="s">
        <v>26</v>
      </c>
      <c r="D53" s="177" t="s">
        <v>26</v>
      </c>
      <c r="E53" s="177" t="s">
        <v>26</v>
      </c>
      <c r="F53" s="177" t="s">
        <v>26</v>
      </c>
      <c r="G53" s="177" t="s">
        <v>26</v>
      </c>
      <c r="H53" s="177" t="s">
        <v>26</v>
      </c>
      <c r="I53" s="177" t="s">
        <v>26</v>
      </c>
      <c r="J53" s="177" t="s">
        <v>26</v>
      </c>
      <c r="K53" s="177" t="s">
        <v>26</v>
      </c>
      <c r="L53" s="177" t="s">
        <v>26</v>
      </c>
      <c r="M53" s="177" t="s">
        <v>26</v>
      </c>
      <c r="N53" s="177" t="s">
        <v>26</v>
      </c>
      <c r="O53" s="177" t="s">
        <v>26</v>
      </c>
      <c r="AB53" s="79"/>
    </row>
    <row r="54" spans="2:28">
      <c r="B54" s="156"/>
      <c r="AB54" s="79"/>
    </row>
    <row r="55" spans="2:28">
      <c r="B55" s="156"/>
      <c r="C55" s="107" t="s">
        <v>51</v>
      </c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S55" s="67"/>
      <c r="AB55" s="79"/>
    </row>
    <row r="56" ht="28.5" spans="2:28">
      <c r="B56" s="156"/>
      <c r="C56" s="175" t="s">
        <v>13</v>
      </c>
      <c r="D56" s="175" t="s">
        <v>52</v>
      </c>
      <c r="E56" s="175" t="s">
        <v>68</v>
      </c>
      <c r="F56" s="175" t="s">
        <v>69</v>
      </c>
      <c r="G56" s="175" t="s">
        <v>70</v>
      </c>
      <c r="H56" s="175" t="s">
        <v>71</v>
      </c>
      <c r="I56" s="175" t="s">
        <v>72</v>
      </c>
      <c r="J56" s="175" t="s">
        <v>73</v>
      </c>
      <c r="K56" s="175" t="s">
        <v>74</v>
      </c>
      <c r="L56" s="176" t="s">
        <v>75</v>
      </c>
      <c r="M56" s="176" t="s">
        <v>76</v>
      </c>
      <c r="N56" s="176" t="s">
        <v>77</v>
      </c>
      <c r="O56" s="176" t="s">
        <v>78</v>
      </c>
      <c r="AB56" s="79"/>
    </row>
    <row r="57" spans="2:28">
      <c r="B57" s="156"/>
      <c r="C57" s="177" t="s">
        <v>79</v>
      </c>
      <c r="D57" s="177" t="s">
        <v>80</v>
      </c>
      <c r="E57" s="177" t="s">
        <v>26</v>
      </c>
      <c r="F57" s="177" t="s">
        <v>26</v>
      </c>
      <c r="G57" s="177" t="s">
        <v>26</v>
      </c>
      <c r="H57" s="177" t="s">
        <v>26</v>
      </c>
      <c r="I57" s="177" t="s">
        <v>26</v>
      </c>
      <c r="J57" s="177" t="s">
        <v>26</v>
      </c>
      <c r="K57" s="177" t="s">
        <v>26</v>
      </c>
      <c r="L57" s="177" t="s">
        <v>26</v>
      </c>
      <c r="M57" s="177" t="s">
        <v>26</v>
      </c>
      <c r="N57" s="177" t="s">
        <v>26</v>
      </c>
      <c r="O57" s="177" t="s">
        <v>26</v>
      </c>
      <c r="P57" s="67"/>
      <c r="S57" s="67"/>
      <c r="AB57" s="79"/>
    </row>
    <row r="58" spans="2:28">
      <c r="B58" s="156"/>
      <c r="C58" s="177" t="s">
        <v>26</v>
      </c>
      <c r="D58" s="177" t="s">
        <v>26</v>
      </c>
      <c r="E58" s="177" t="s">
        <v>26</v>
      </c>
      <c r="F58" s="177" t="s">
        <v>26</v>
      </c>
      <c r="G58" s="177" t="s">
        <v>26</v>
      </c>
      <c r="H58" s="177" t="s">
        <v>26</v>
      </c>
      <c r="I58" s="177" t="s">
        <v>26</v>
      </c>
      <c r="J58" s="177" t="s">
        <v>26</v>
      </c>
      <c r="K58" s="177" t="s">
        <v>26</v>
      </c>
      <c r="L58" s="177" t="s">
        <v>26</v>
      </c>
      <c r="M58" s="177" t="s">
        <v>26</v>
      </c>
      <c r="N58" s="177" t="s">
        <v>26</v>
      </c>
      <c r="O58" s="177" t="s">
        <v>26</v>
      </c>
      <c r="AB58" s="79"/>
    </row>
    <row r="59" ht="17.25" spans="2:28">
      <c r="B59" s="172"/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4"/>
    </row>
    <row r="61" spans="2:28">
      <c r="B61" s="155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70"/>
    </row>
    <row r="62" ht="22.5" spans="2:28">
      <c r="B62" s="156"/>
      <c r="C62" s="40" t="s">
        <v>81</v>
      </c>
      <c r="D62" s="40"/>
      <c r="E62" s="40"/>
      <c r="AB62" s="79"/>
    </row>
    <row r="63" spans="2:28">
      <c r="B63" s="156"/>
      <c r="AB63" s="79"/>
    </row>
    <row r="64" spans="2:28">
      <c r="B64" s="156"/>
      <c r="C64" s="42" t="s">
        <v>1</v>
      </c>
      <c r="D64" s="42"/>
      <c r="F64" s="42" t="s">
        <v>2</v>
      </c>
      <c r="G64" s="42"/>
      <c r="H64" s="42"/>
      <c r="AB64" s="79"/>
    </row>
    <row r="65" spans="2:28">
      <c r="B65" s="156"/>
      <c r="AB65" s="79"/>
    </row>
    <row r="66" spans="2:28">
      <c r="B66" s="156"/>
      <c r="C66" s="157" t="s">
        <v>82</v>
      </c>
      <c r="D66" s="157"/>
      <c r="E66" s="157"/>
      <c r="F66" s="157"/>
      <c r="G66" s="157"/>
      <c r="I66" s="157" t="s">
        <v>83</v>
      </c>
      <c r="J66" s="157"/>
      <c r="K66" s="157"/>
      <c r="L66" s="157"/>
      <c r="M66" s="157"/>
      <c r="AB66" s="79"/>
    </row>
    <row r="67" spans="2:28">
      <c r="B67" s="156"/>
      <c r="C67" s="157"/>
      <c r="D67" s="157"/>
      <c r="E67" s="157"/>
      <c r="F67" s="157"/>
      <c r="G67" s="157"/>
      <c r="I67" s="157"/>
      <c r="J67" s="157"/>
      <c r="K67" s="157"/>
      <c r="L67" s="157"/>
      <c r="M67" s="157"/>
      <c r="AB67" s="79"/>
    </row>
    <row r="68" spans="2:28">
      <c r="B68" s="156"/>
      <c r="C68" s="157"/>
      <c r="D68" s="157"/>
      <c r="E68" s="157"/>
      <c r="F68" s="157"/>
      <c r="G68" s="157"/>
      <c r="I68" s="157"/>
      <c r="J68" s="157"/>
      <c r="K68" s="157"/>
      <c r="L68" s="157"/>
      <c r="M68" s="157"/>
      <c r="AB68" s="79"/>
    </row>
    <row r="69" spans="2:28">
      <c r="B69" s="156"/>
      <c r="C69" s="157"/>
      <c r="D69" s="157"/>
      <c r="E69" s="157"/>
      <c r="F69" s="157"/>
      <c r="G69" s="157"/>
      <c r="I69" s="157"/>
      <c r="J69" s="157"/>
      <c r="K69" s="157"/>
      <c r="L69" s="157"/>
      <c r="M69" s="157"/>
      <c r="AB69" s="79"/>
    </row>
    <row r="70" spans="2:28">
      <c r="B70" s="156"/>
      <c r="C70" s="157"/>
      <c r="D70" s="157"/>
      <c r="E70" s="157"/>
      <c r="F70" s="157"/>
      <c r="G70" s="157"/>
      <c r="I70" s="157"/>
      <c r="J70" s="157"/>
      <c r="K70" s="157"/>
      <c r="L70" s="157"/>
      <c r="M70" s="157"/>
      <c r="AB70" s="79"/>
    </row>
    <row r="71" spans="2:28">
      <c r="B71" s="156"/>
      <c r="C71" s="157"/>
      <c r="D71" s="157"/>
      <c r="E71" s="157"/>
      <c r="F71" s="157"/>
      <c r="G71" s="157"/>
      <c r="I71" s="157"/>
      <c r="J71" s="157"/>
      <c r="K71" s="157"/>
      <c r="L71" s="157"/>
      <c r="M71" s="157"/>
      <c r="AB71" s="79"/>
    </row>
    <row r="72" spans="2:28">
      <c r="B72" s="156"/>
      <c r="C72" s="157"/>
      <c r="D72" s="157"/>
      <c r="E72" s="157"/>
      <c r="F72" s="157"/>
      <c r="G72" s="157"/>
      <c r="I72" s="157"/>
      <c r="J72" s="157"/>
      <c r="K72" s="157"/>
      <c r="L72" s="157"/>
      <c r="M72" s="157"/>
      <c r="AB72" s="79"/>
    </row>
    <row r="73" spans="2:28">
      <c r="B73" s="156"/>
      <c r="C73" s="157"/>
      <c r="D73" s="157"/>
      <c r="E73" s="157"/>
      <c r="F73" s="157"/>
      <c r="G73" s="157"/>
      <c r="I73" s="157"/>
      <c r="J73" s="157"/>
      <c r="K73" s="157"/>
      <c r="L73" s="157"/>
      <c r="M73" s="157"/>
      <c r="AB73" s="79"/>
    </row>
    <row r="74" spans="2:28">
      <c r="B74" s="156"/>
      <c r="AB74" s="79"/>
    </row>
    <row r="75" spans="2:28">
      <c r="B75" s="156"/>
      <c r="C75" s="107" t="s">
        <v>84</v>
      </c>
      <c r="AB75" s="79"/>
    </row>
    <row r="76" ht="28.5" spans="2:28">
      <c r="B76" s="156"/>
      <c r="C76" s="175" t="s">
        <v>13</v>
      </c>
      <c r="D76" s="175" t="s">
        <v>85</v>
      </c>
      <c r="E76" s="175" t="s">
        <v>86</v>
      </c>
      <c r="F76" s="175" t="s">
        <v>87</v>
      </c>
      <c r="G76" s="176" t="s">
        <v>88</v>
      </c>
      <c r="H76" s="176" t="s">
        <v>89</v>
      </c>
      <c r="I76" s="176" t="s">
        <v>90</v>
      </c>
      <c r="J76" s="176" t="s">
        <v>91</v>
      </c>
      <c r="K76" s="176" t="s">
        <v>92</v>
      </c>
      <c r="L76" s="176" t="s">
        <v>93</v>
      </c>
      <c r="AB76" s="79"/>
    </row>
    <row r="77" ht="28.5" spans="2:28">
      <c r="B77" s="156"/>
      <c r="C77" s="177" t="s">
        <v>79</v>
      </c>
      <c r="D77" s="177" t="s">
        <v>26</v>
      </c>
      <c r="E77" s="177" t="s">
        <v>26</v>
      </c>
      <c r="F77" s="177" t="s">
        <v>26</v>
      </c>
      <c r="G77" s="177" t="s">
        <v>26</v>
      </c>
      <c r="H77" s="177" t="s">
        <v>26</v>
      </c>
      <c r="I77" s="177" t="s">
        <v>26</v>
      </c>
      <c r="J77" s="177" t="s">
        <v>26</v>
      </c>
      <c r="K77" s="179" t="s">
        <v>94</v>
      </c>
      <c r="L77" s="179" t="s">
        <v>95</v>
      </c>
      <c r="Q77" s="67"/>
      <c r="R77" s="67"/>
      <c r="S77" s="67"/>
      <c r="AB77" s="79"/>
    </row>
    <row r="78" spans="2:28">
      <c r="B78" s="156"/>
      <c r="C78" s="177" t="s">
        <v>26</v>
      </c>
      <c r="D78" s="177" t="s">
        <v>26</v>
      </c>
      <c r="E78" s="177" t="s">
        <v>26</v>
      </c>
      <c r="F78" s="177" t="s">
        <v>26</v>
      </c>
      <c r="G78" s="177" t="s">
        <v>26</v>
      </c>
      <c r="H78" s="177" t="s">
        <v>26</v>
      </c>
      <c r="I78" s="177" t="s">
        <v>26</v>
      </c>
      <c r="J78" s="177" t="s">
        <v>26</v>
      </c>
      <c r="K78" s="177" t="s">
        <v>26</v>
      </c>
      <c r="L78" s="177" t="s">
        <v>26</v>
      </c>
      <c r="O78" s="67"/>
      <c r="P78" s="67"/>
      <c r="Q78" s="67"/>
      <c r="R78" s="67"/>
      <c r="S78" s="67"/>
      <c r="AB78" s="79"/>
    </row>
    <row r="79" spans="2:28">
      <c r="B79" s="156"/>
      <c r="O79" s="67"/>
      <c r="P79" s="67"/>
      <c r="Q79" s="67"/>
      <c r="R79" s="67"/>
      <c r="S79" s="67"/>
      <c r="AB79" s="79"/>
    </row>
    <row r="80" spans="2:28">
      <c r="B80" s="156"/>
      <c r="C80" s="107" t="s">
        <v>96</v>
      </c>
      <c r="AB80" s="79"/>
    </row>
    <row r="81" spans="2:28">
      <c r="B81" s="156"/>
      <c r="C81" s="85" t="s">
        <v>97</v>
      </c>
      <c r="D81" s="85"/>
      <c r="E81" s="85"/>
      <c r="F81" s="85"/>
      <c r="G81" s="85"/>
      <c r="H81" s="86"/>
      <c r="I81" s="85" t="s">
        <v>98</v>
      </c>
      <c r="J81" s="85"/>
      <c r="K81" s="85"/>
      <c r="L81" s="85"/>
      <c r="M81" s="85"/>
      <c r="N81" s="86"/>
      <c r="O81" s="85" t="s">
        <v>99</v>
      </c>
      <c r="P81" s="85"/>
      <c r="Q81" s="85"/>
      <c r="R81" s="60"/>
      <c r="S81" s="60"/>
      <c r="AB81" s="79"/>
    </row>
    <row r="82" spans="2:28">
      <c r="B82" s="156"/>
      <c r="C82" s="175" t="s">
        <v>100</v>
      </c>
      <c r="D82" s="175" t="s">
        <v>52</v>
      </c>
      <c r="E82" s="175" t="s">
        <v>69</v>
      </c>
      <c r="F82" s="175" t="s">
        <v>101</v>
      </c>
      <c r="I82" s="175" t="s">
        <v>100</v>
      </c>
      <c r="J82" s="175" t="s">
        <v>52</v>
      </c>
      <c r="K82" s="175" t="s">
        <v>75</v>
      </c>
      <c r="L82" s="175" t="s">
        <v>101</v>
      </c>
      <c r="O82" s="175" t="s">
        <v>100</v>
      </c>
      <c r="P82" s="175" t="s">
        <v>52</v>
      </c>
      <c r="Q82" s="175" t="s">
        <v>102</v>
      </c>
      <c r="R82" s="175" t="s">
        <v>101</v>
      </c>
      <c r="AB82" s="79"/>
    </row>
    <row r="83" spans="2:28">
      <c r="B83" s="156"/>
      <c r="C83" s="177" t="s">
        <v>26</v>
      </c>
      <c r="D83" s="177" t="s">
        <v>26</v>
      </c>
      <c r="E83" s="177" t="s">
        <v>26</v>
      </c>
      <c r="F83" s="177" t="s">
        <v>26</v>
      </c>
      <c r="I83" s="177" t="s">
        <v>26</v>
      </c>
      <c r="J83" s="177" t="s">
        <v>26</v>
      </c>
      <c r="K83" s="177" t="s">
        <v>26</v>
      </c>
      <c r="L83" s="177" t="s">
        <v>26</v>
      </c>
      <c r="O83" s="177" t="s">
        <v>26</v>
      </c>
      <c r="P83" s="177" t="s">
        <v>26</v>
      </c>
      <c r="Q83" s="177" t="s">
        <v>26</v>
      </c>
      <c r="R83" s="177" t="s">
        <v>26</v>
      </c>
      <c r="AB83" s="79"/>
    </row>
    <row r="84" spans="2:28">
      <c r="B84" s="156"/>
      <c r="C84" s="177" t="s">
        <v>26</v>
      </c>
      <c r="D84" s="177" t="s">
        <v>26</v>
      </c>
      <c r="E84" s="177" t="s">
        <v>26</v>
      </c>
      <c r="F84" s="177" t="s">
        <v>26</v>
      </c>
      <c r="I84" s="177" t="s">
        <v>26</v>
      </c>
      <c r="J84" s="177" t="s">
        <v>26</v>
      </c>
      <c r="K84" s="177" t="s">
        <v>26</v>
      </c>
      <c r="L84" s="177" t="s">
        <v>26</v>
      </c>
      <c r="O84" s="177" t="s">
        <v>26</v>
      </c>
      <c r="P84" s="177" t="s">
        <v>26</v>
      </c>
      <c r="Q84" s="177" t="s">
        <v>26</v>
      </c>
      <c r="R84" s="177" t="s">
        <v>26</v>
      </c>
      <c r="AB84" s="79"/>
    </row>
    <row r="85" spans="2:28">
      <c r="B85" s="156"/>
      <c r="C85" s="60"/>
      <c r="D85" s="60"/>
      <c r="E85" s="60"/>
      <c r="F85" s="60"/>
      <c r="G85" s="60"/>
      <c r="I85" s="60"/>
      <c r="J85" s="60"/>
      <c r="K85" s="60"/>
      <c r="L85" s="60"/>
      <c r="M85" s="60"/>
      <c r="O85" s="60"/>
      <c r="P85" s="60"/>
      <c r="Q85" s="60"/>
      <c r="R85" s="60"/>
      <c r="S85" s="60"/>
      <c r="AB85" s="79"/>
    </row>
    <row r="86" spans="2:28">
      <c r="B86" s="156"/>
      <c r="C86" s="85" t="s">
        <v>103</v>
      </c>
      <c r="D86" s="85"/>
      <c r="E86" s="85"/>
      <c r="F86" s="85"/>
      <c r="G86" s="85"/>
      <c r="H86" s="86"/>
      <c r="I86" s="85" t="s">
        <v>104</v>
      </c>
      <c r="J86" s="85"/>
      <c r="K86" s="85"/>
      <c r="L86" s="85"/>
      <c r="M86" s="85"/>
      <c r="AB86" s="79"/>
    </row>
    <row r="87" spans="2:28">
      <c r="B87" s="156"/>
      <c r="C87" s="175" t="s">
        <v>100</v>
      </c>
      <c r="D87" s="175" t="s">
        <v>52</v>
      </c>
      <c r="E87" s="175" t="s">
        <v>105</v>
      </c>
      <c r="F87" s="175" t="s">
        <v>101</v>
      </c>
      <c r="I87" s="175" t="s">
        <v>100</v>
      </c>
      <c r="J87" s="175" t="s">
        <v>52</v>
      </c>
      <c r="K87" s="175" t="s">
        <v>43</v>
      </c>
      <c r="L87" s="175" t="s">
        <v>101</v>
      </c>
      <c r="AB87" s="79"/>
    </row>
    <row r="88" spans="2:28">
      <c r="B88" s="156"/>
      <c r="C88" s="177" t="s">
        <v>26</v>
      </c>
      <c r="D88" s="177" t="s">
        <v>26</v>
      </c>
      <c r="E88" s="177" t="s">
        <v>26</v>
      </c>
      <c r="F88" s="177" t="s">
        <v>26</v>
      </c>
      <c r="I88" s="177" t="s">
        <v>26</v>
      </c>
      <c r="J88" s="177" t="s">
        <v>26</v>
      </c>
      <c r="K88" s="177" t="s">
        <v>26</v>
      </c>
      <c r="L88" s="177" t="s">
        <v>26</v>
      </c>
      <c r="AB88" s="79"/>
    </row>
    <row r="89" spans="2:28">
      <c r="B89" s="156"/>
      <c r="C89" s="177" t="s">
        <v>26</v>
      </c>
      <c r="D89" s="177" t="s">
        <v>26</v>
      </c>
      <c r="E89" s="177" t="s">
        <v>26</v>
      </c>
      <c r="F89" s="177" t="s">
        <v>26</v>
      </c>
      <c r="I89" s="177" t="s">
        <v>26</v>
      </c>
      <c r="J89" s="177" t="s">
        <v>26</v>
      </c>
      <c r="K89" s="177" t="s">
        <v>26</v>
      </c>
      <c r="L89" s="177" t="s">
        <v>26</v>
      </c>
      <c r="AB89" s="79"/>
    </row>
    <row r="90" spans="2:28">
      <c r="B90" s="156"/>
      <c r="C90" s="60"/>
      <c r="D90" s="60"/>
      <c r="E90" s="60"/>
      <c r="F90" s="60"/>
      <c r="G90" s="60"/>
      <c r="I90" s="60"/>
      <c r="J90" s="60"/>
      <c r="K90" s="60"/>
      <c r="L90" s="60"/>
      <c r="M90" s="60"/>
      <c r="O90" s="60"/>
      <c r="P90" s="60"/>
      <c r="Q90" s="60"/>
      <c r="R90" s="60"/>
      <c r="S90" s="60"/>
      <c r="AB90" s="79"/>
    </row>
    <row r="91" spans="2:28">
      <c r="B91" s="156"/>
      <c r="C91" s="107" t="s">
        <v>106</v>
      </c>
      <c r="AB91" s="79"/>
    </row>
    <row r="92" spans="2:28">
      <c r="B92" s="156"/>
      <c r="C92" s="85" t="s">
        <v>107</v>
      </c>
      <c r="D92" s="85"/>
      <c r="E92" s="85"/>
      <c r="F92" s="85"/>
      <c r="G92" s="85"/>
      <c r="H92" s="86"/>
      <c r="J92" s="85" t="s">
        <v>108</v>
      </c>
      <c r="K92" s="85"/>
      <c r="M92" s="85"/>
      <c r="N92" s="85"/>
      <c r="O92" s="85"/>
      <c r="P92" s="86"/>
      <c r="Q92" s="85" t="s">
        <v>109</v>
      </c>
      <c r="R92" s="85"/>
      <c r="S92" s="85"/>
      <c r="T92" s="85"/>
      <c r="U92" s="85"/>
      <c r="AB92" s="79"/>
    </row>
    <row r="93" spans="2:28">
      <c r="B93" s="156"/>
      <c r="C93" s="175" t="s">
        <v>100</v>
      </c>
      <c r="D93" s="175" t="s">
        <v>110</v>
      </c>
      <c r="E93" s="175" t="s">
        <v>111</v>
      </c>
      <c r="F93" s="175" t="s">
        <v>112</v>
      </c>
      <c r="G93" s="175" t="s">
        <v>113</v>
      </c>
      <c r="H93" s="175" t="s">
        <v>101</v>
      </c>
      <c r="J93" s="175" t="s">
        <v>100</v>
      </c>
      <c r="K93" s="175" t="s">
        <v>110</v>
      </c>
      <c r="L93" s="175" t="s">
        <v>111</v>
      </c>
      <c r="M93" s="175" t="s">
        <v>114</v>
      </c>
      <c r="N93" s="175" t="s">
        <v>113</v>
      </c>
      <c r="O93" s="175" t="s">
        <v>101</v>
      </c>
      <c r="Q93" s="175" t="s">
        <v>100</v>
      </c>
      <c r="R93" s="175" t="s">
        <v>110</v>
      </c>
      <c r="S93" s="175" t="s">
        <v>111</v>
      </c>
      <c r="T93" s="175" t="s">
        <v>102</v>
      </c>
      <c r="U93" s="175" t="s">
        <v>113</v>
      </c>
      <c r="V93" s="175" t="s">
        <v>101</v>
      </c>
      <c r="AB93" s="79"/>
    </row>
    <row r="94" spans="2:28">
      <c r="B94" s="156"/>
      <c r="C94" s="177" t="s">
        <v>26</v>
      </c>
      <c r="D94" s="177" t="s">
        <v>26</v>
      </c>
      <c r="E94" s="177" t="s">
        <v>26</v>
      </c>
      <c r="F94" s="177" t="s">
        <v>26</v>
      </c>
      <c r="G94" s="177" t="s">
        <v>26</v>
      </c>
      <c r="H94" s="177" t="s">
        <v>26</v>
      </c>
      <c r="J94" s="177" t="s">
        <v>26</v>
      </c>
      <c r="K94" s="177" t="s">
        <v>26</v>
      </c>
      <c r="L94" s="177" t="s">
        <v>26</v>
      </c>
      <c r="M94" s="177" t="s">
        <v>26</v>
      </c>
      <c r="N94" s="177" t="s">
        <v>26</v>
      </c>
      <c r="O94" s="177" t="s">
        <v>26</v>
      </c>
      <c r="Q94" s="177" t="s">
        <v>26</v>
      </c>
      <c r="R94" s="177" t="s">
        <v>26</v>
      </c>
      <c r="S94" s="177" t="s">
        <v>26</v>
      </c>
      <c r="T94" s="177" t="s">
        <v>26</v>
      </c>
      <c r="U94" s="177" t="s">
        <v>26</v>
      </c>
      <c r="V94" s="177" t="s">
        <v>26</v>
      </c>
      <c r="AB94" s="79"/>
    </row>
    <row r="95" spans="2:28">
      <c r="B95" s="156"/>
      <c r="C95" s="177" t="s">
        <v>26</v>
      </c>
      <c r="D95" s="177" t="s">
        <v>26</v>
      </c>
      <c r="E95" s="177" t="s">
        <v>26</v>
      </c>
      <c r="F95" s="177" t="s">
        <v>26</v>
      </c>
      <c r="G95" s="177" t="s">
        <v>26</v>
      </c>
      <c r="H95" s="177" t="s">
        <v>26</v>
      </c>
      <c r="J95" s="177" t="s">
        <v>26</v>
      </c>
      <c r="K95" s="177" t="s">
        <v>26</v>
      </c>
      <c r="L95" s="177" t="s">
        <v>26</v>
      </c>
      <c r="M95" s="177" t="s">
        <v>26</v>
      </c>
      <c r="N95" s="177" t="s">
        <v>26</v>
      </c>
      <c r="O95" s="177" t="s">
        <v>26</v>
      </c>
      <c r="Q95" s="177" t="s">
        <v>26</v>
      </c>
      <c r="R95" s="177" t="s">
        <v>26</v>
      </c>
      <c r="S95" s="177" t="s">
        <v>26</v>
      </c>
      <c r="T95" s="177" t="s">
        <v>26</v>
      </c>
      <c r="U95" s="177" t="s">
        <v>26</v>
      </c>
      <c r="V95" s="177" t="s">
        <v>26</v>
      </c>
      <c r="AB95" s="79"/>
    </row>
    <row r="96" spans="2:28">
      <c r="B96" s="156"/>
      <c r="C96" s="60"/>
      <c r="D96" s="60"/>
      <c r="E96" s="60"/>
      <c r="F96" s="60"/>
      <c r="G96" s="60"/>
      <c r="H96" s="60"/>
      <c r="J96" s="60"/>
      <c r="K96" s="60"/>
      <c r="L96" s="60"/>
      <c r="M96" s="60"/>
      <c r="N96" s="60"/>
      <c r="O96" s="60"/>
      <c r="Q96" s="60"/>
      <c r="R96" s="60"/>
      <c r="S96" s="60"/>
      <c r="T96" s="60"/>
      <c r="U96" s="60"/>
      <c r="V96" s="60"/>
      <c r="AB96" s="79"/>
    </row>
    <row r="97" spans="2:28">
      <c r="B97" s="156"/>
      <c r="C97" s="85" t="s">
        <v>115</v>
      </c>
      <c r="D97" s="85"/>
      <c r="E97" s="85"/>
      <c r="F97" s="85"/>
      <c r="G97" s="85"/>
      <c r="H97" s="85"/>
      <c r="J97" s="85" t="s">
        <v>116</v>
      </c>
      <c r="K97" s="85"/>
      <c r="L97" s="85"/>
      <c r="M97" s="85"/>
      <c r="N97" s="85"/>
      <c r="O97" s="85"/>
      <c r="P97" s="86"/>
      <c r="Q97" s="85" t="s">
        <v>117</v>
      </c>
      <c r="R97" s="85"/>
      <c r="S97" s="85"/>
      <c r="T97" s="85"/>
      <c r="U97" s="85"/>
      <c r="V97" s="85"/>
      <c r="AB97" s="79"/>
    </row>
    <row r="98" spans="2:28">
      <c r="B98" s="156"/>
      <c r="C98" s="175" t="s">
        <v>100</v>
      </c>
      <c r="D98" s="175" t="s">
        <v>110</v>
      </c>
      <c r="E98" s="175" t="s">
        <v>111</v>
      </c>
      <c r="F98" s="175" t="s">
        <v>105</v>
      </c>
      <c r="G98" s="175" t="s">
        <v>113</v>
      </c>
      <c r="H98" s="175" t="s">
        <v>101</v>
      </c>
      <c r="J98" s="175" t="s">
        <v>100</v>
      </c>
      <c r="K98" s="175" t="s">
        <v>110</v>
      </c>
      <c r="L98" s="175" t="s">
        <v>111</v>
      </c>
      <c r="M98" s="175" t="s">
        <v>43</v>
      </c>
      <c r="N98" s="175" t="s">
        <v>113</v>
      </c>
      <c r="O98" s="175" t="s">
        <v>101</v>
      </c>
      <c r="Q98" s="175" t="s">
        <v>100</v>
      </c>
      <c r="R98" s="175" t="s">
        <v>110</v>
      </c>
      <c r="S98" s="175" t="s">
        <v>111</v>
      </c>
      <c r="T98" s="175" t="s">
        <v>118</v>
      </c>
      <c r="U98" s="175" t="s">
        <v>113</v>
      </c>
      <c r="V98" s="175" t="s">
        <v>101</v>
      </c>
      <c r="AB98" s="79"/>
    </row>
    <row r="99" spans="2:28">
      <c r="B99" s="156"/>
      <c r="C99" s="177" t="s">
        <v>26</v>
      </c>
      <c r="D99" s="177" t="s">
        <v>26</v>
      </c>
      <c r="E99" s="177" t="s">
        <v>26</v>
      </c>
      <c r="F99" s="177" t="s">
        <v>26</v>
      </c>
      <c r="G99" s="177" t="s">
        <v>26</v>
      </c>
      <c r="H99" s="177" t="s">
        <v>26</v>
      </c>
      <c r="J99" s="177" t="s">
        <v>26</v>
      </c>
      <c r="K99" s="177" t="s">
        <v>26</v>
      </c>
      <c r="L99" s="177" t="s">
        <v>26</v>
      </c>
      <c r="M99" s="177" t="s">
        <v>26</v>
      </c>
      <c r="N99" s="177" t="s">
        <v>26</v>
      </c>
      <c r="O99" s="177" t="s">
        <v>26</v>
      </c>
      <c r="Q99" s="177" t="s">
        <v>26</v>
      </c>
      <c r="R99" s="177" t="s">
        <v>26</v>
      </c>
      <c r="S99" s="177" t="s">
        <v>26</v>
      </c>
      <c r="T99" s="177" t="s">
        <v>26</v>
      </c>
      <c r="U99" s="177" t="s">
        <v>26</v>
      </c>
      <c r="V99" s="177" t="s">
        <v>26</v>
      </c>
      <c r="AB99" s="79"/>
    </row>
    <row r="100" spans="2:28">
      <c r="B100" s="156"/>
      <c r="C100" s="177" t="s">
        <v>26</v>
      </c>
      <c r="D100" s="177" t="s">
        <v>26</v>
      </c>
      <c r="E100" s="177" t="s">
        <v>26</v>
      </c>
      <c r="F100" s="177" t="s">
        <v>26</v>
      </c>
      <c r="G100" s="177" t="s">
        <v>26</v>
      </c>
      <c r="H100" s="177" t="s">
        <v>26</v>
      </c>
      <c r="J100" s="177" t="s">
        <v>26</v>
      </c>
      <c r="K100" s="177" t="s">
        <v>26</v>
      </c>
      <c r="L100" s="177" t="s">
        <v>26</v>
      </c>
      <c r="M100" s="177" t="s">
        <v>26</v>
      </c>
      <c r="N100" s="177" t="s">
        <v>26</v>
      </c>
      <c r="O100" s="177" t="s">
        <v>26</v>
      </c>
      <c r="Q100" s="177" t="s">
        <v>26</v>
      </c>
      <c r="R100" s="177" t="s">
        <v>26</v>
      </c>
      <c r="S100" s="177" t="s">
        <v>26</v>
      </c>
      <c r="T100" s="177" t="s">
        <v>26</v>
      </c>
      <c r="U100" s="177" t="s">
        <v>26</v>
      </c>
      <c r="V100" s="177" t="s">
        <v>26</v>
      </c>
      <c r="AB100" s="79"/>
    </row>
    <row r="101" ht="17.25" spans="2:28">
      <c r="B101" s="172"/>
      <c r="C101" s="173"/>
      <c r="D101" s="173"/>
      <c r="E101" s="173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4"/>
    </row>
    <row r="103" spans="2:28">
      <c r="B103" s="155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70"/>
    </row>
    <row r="104" ht="22.5" spans="2:28">
      <c r="B104" s="156"/>
      <c r="C104" s="40" t="s">
        <v>119</v>
      </c>
      <c r="D104" s="40"/>
      <c r="E104" s="40"/>
      <c r="AB104" s="79"/>
    </row>
    <row r="105" spans="2:28">
      <c r="B105" s="156"/>
      <c r="AB105" s="79"/>
    </row>
    <row r="106" spans="2:28">
      <c r="B106" s="156"/>
      <c r="C106" s="42" t="s">
        <v>1</v>
      </c>
      <c r="D106" s="42"/>
      <c r="F106" s="42" t="s">
        <v>2</v>
      </c>
      <c r="G106" s="42"/>
      <c r="H106" s="42"/>
      <c r="AB106" s="79"/>
    </row>
    <row r="107" spans="2:28">
      <c r="B107" s="156"/>
      <c r="AB107" s="79"/>
    </row>
    <row r="108" spans="2:28">
      <c r="B108" s="156"/>
      <c r="C108" s="157" t="s">
        <v>120</v>
      </c>
      <c r="D108" s="157"/>
      <c r="E108" s="157"/>
      <c r="F108" s="157"/>
      <c r="G108" s="157"/>
      <c r="I108" s="157" t="s">
        <v>121</v>
      </c>
      <c r="J108" s="157"/>
      <c r="K108" s="157"/>
      <c r="L108" s="157"/>
      <c r="M108" s="157"/>
      <c r="O108" s="157" t="s">
        <v>122</v>
      </c>
      <c r="P108" s="180"/>
      <c r="Q108" s="180"/>
      <c r="R108" s="180"/>
      <c r="S108" s="180"/>
      <c r="AB108" s="79"/>
    </row>
    <row r="109" spans="2:28">
      <c r="B109" s="156"/>
      <c r="C109" s="157"/>
      <c r="D109" s="157"/>
      <c r="E109" s="157"/>
      <c r="F109" s="157"/>
      <c r="G109" s="157"/>
      <c r="I109" s="157"/>
      <c r="J109" s="157"/>
      <c r="K109" s="157"/>
      <c r="L109" s="157"/>
      <c r="M109" s="157"/>
      <c r="O109" s="180"/>
      <c r="P109" s="180"/>
      <c r="Q109" s="180"/>
      <c r="R109" s="180"/>
      <c r="S109" s="180"/>
      <c r="AB109" s="79"/>
    </row>
    <row r="110" spans="2:28">
      <c r="B110" s="156"/>
      <c r="C110" s="157"/>
      <c r="D110" s="157"/>
      <c r="E110" s="157"/>
      <c r="F110" s="157"/>
      <c r="G110" s="157"/>
      <c r="I110" s="157"/>
      <c r="J110" s="157"/>
      <c r="K110" s="157"/>
      <c r="L110" s="157"/>
      <c r="M110" s="157"/>
      <c r="O110" s="180"/>
      <c r="P110" s="180"/>
      <c r="Q110" s="180"/>
      <c r="R110" s="180"/>
      <c r="S110" s="180"/>
      <c r="AB110" s="79"/>
    </row>
    <row r="111" spans="2:28">
      <c r="B111" s="156"/>
      <c r="C111" s="157"/>
      <c r="D111" s="157"/>
      <c r="E111" s="157"/>
      <c r="F111" s="157"/>
      <c r="G111" s="157"/>
      <c r="I111" s="157"/>
      <c r="J111" s="157"/>
      <c r="K111" s="157"/>
      <c r="L111" s="157"/>
      <c r="M111" s="157"/>
      <c r="O111" s="180"/>
      <c r="P111" s="180"/>
      <c r="Q111" s="180"/>
      <c r="R111" s="180"/>
      <c r="S111" s="180"/>
      <c r="AB111" s="79"/>
    </row>
    <row r="112" spans="2:28">
      <c r="B112" s="156"/>
      <c r="C112" s="157"/>
      <c r="D112" s="157"/>
      <c r="E112" s="157"/>
      <c r="F112" s="157"/>
      <c r="G112" s="157"/>
      <c r="I112" s="157"/>
      <c r="J112" s="157"/>
      <c r="K112" s="157"/>
      <c r="L112" s="157"/>
      <c r="M112" s="157"/>
      <c r="O112" s="180"/>
      <c r="P112" s="180"/>
      <c r="Q112" s="180"/>
      <c r="R112" s="180"/>
      <c r="S112" s="180"/>
      <c r="AB112" s="79"/>
    </row>
    <row r="113" spans="2:28">
      <c r="B113" s="156"/>
      <c r="C113" s="157"/>
      <c r="D113" s="157"/>
      <c r="E113" s="157"/>
      <c r="F113" s="157"/>
      <c r="G113" s="157"/>
      <c r="I113" s="157"/>
      <c r="J113" s="157"/>
      <c r="K113" s="157"/>
      <c r="L113" s="157"/>
      <c r="M113" s="157"/>
      <c r="O113" s="180"/>
      <c r="P113" s="180"/>
      <c r="Q113" s="180"/>
      <c r="R113" s="180"/>
      <c r="S113" s="180"/>
      <c r="AB113" s="79"/>
    </row>
    <row r="114" spans="2:28">
      <c r="B114" s="156"/>
      <c r="C114" s="157"/>
      <c r="D114" s="157"/>
      <c r="E114" s="157"/>
      <c r="F114" s="157"/>
      <c r="G114" s="157"/>
      <c r="I114" s="157"/>
      <c r="J114" s="157"/>
      <c r="K114" s="157"/>
      <c r="L114" s="157"/>
      <c r="M114" s="157"/>
      <c r="O114" s="180"/>
      <c r="P114" s="180"/>
      <c r="Q114" s="180"/>
      <c r="R114" s="180"/>
      <c r="S114" s="180"/>
      <c r="AB114" s="79"/>
    </row>
    <row r="115" spans="2:28">
      <c r="B115" s="156"/>
      <c r="C115" s="157"/>
      <c r="D115" s="157"/>
      <c r="E115" s="157"/>
      <c r="F115" s="157"/>
      <c r="G115" s="157"/>
      <c r="I115" s="157"/>
      <c r="J115" s="157"/>
      <c r="K115" s="157"/>
      <c r="L115" s="157"/>
      <c r="M115" s="157"/>
      <c r="O115" s="180"/>
      <c r="P115" s="180"/>
      <c r="Q115" s="180"/>
      <c r="R115" s="180"/>
      <c r="S115" s="180"/>
      <c r="AB115" s="79"/>
    </row>
    <row r="116" spans="2:28">
      <c r="B116" s="156"/>
      <c r="AB116" s="79"/>
    </row>
    <row r="117" spans="2:28">
      <c r="B117" s="156"/>
      <c r="C117" s="157" t="s">
        <v>123</v>
      </c>
      <c r="D117" s="157"/>
      <c r="E117" s="157"/>
      <c r="F117" s="157"/>
      <c r="G117" s="157"/>
      <c r="I117" s="157" t="s">
        <v>124</v>
      </c>
      <c r="J117" s="157"/>
      <c r="K117" s="157"/>
      <c r="L117" s="157"/>
      <c r="M117" s="157"/>
      <c r="O117" s="157" t="s">
        <v>125</v>
      </c>
      <c r="P117" s="180"/>
      <c r="Q117" s="180"/>
      <c r="R117" s="180"/>
      <c r="S117" s="180"/>
      <c r="AB117" s="79"/>
    </row>
    <row r="118" spans="2:28">
      <c r="B118" s="156"/>
      <c r="C118" s="157"/>
      <c r="D118" s="157"/>
      <c r="E118" s="157"/>
      <c r="F118" s="157"/>
      <c r="G118" s="157"/>
      <c r="I118" s="157"/>
      <c r="J118" s="157"/>
      <c r="K118" s="157"/>
      <c r="L118" s="157"/>
      <c r="M118" s="157"/>
      <c r="O118" s="180"/>
      <c r="P118" s="180"/>
      <c r="Q118" s="180"/>
      <c r="R118" s="180"/>
      <c r="S118" s="180"/>
      <c r="AB118" s="79"/>
    </row>
    <row r="119" spans="2:28">
      <c r="B119" s="156"/>
      <c r="C119" s="157"/>
      <c r="D119" s="157"/>
      <c r="E119" s="157"/>
      <c r="F119" s="157"/>
      <c r="G119" s="157"/>
      <c r="I119" s="157"/>
      <c r="J119" s="157"/>
      <c r="K119" s="157"/>
      <c r="L119" s="157"/>
      <c r="M119" s="157"/>
      <c r="O119" s="180"/>
      <c r="P119" s="180"/>
      <c r="Q119" s="180"/>
      <c r="R119" s="180"/>
      <c r="S119" s="180"/>
      <c r="AB119" s="79"/>
    </row>
    <row r="120" spans="2:28">
      <c r="B120" s="156"/>
      <c r="C120" s="157"/>
      <c r="D120" s="157"/>
      <c r="E120" s="157"/>
      <c r="F120" s="157"/>
      <c r="G120" s="157"/>
      <c r="I120" s="157"/>
      <c r="J120" s="157"/>
      <c r="K120" s="157"/>
      <c r="L120" s="157"/>
      <c r="M120" s="157"/>
      <c r="O120" s="180"/>
      <c r="P120" s="180"/>
      <c r="Q120" s="180"/>
      <c r="R120" s="180"/>
      <c r="S120" s="180"/>
      <c r="AB120" s="79"/>
    </row>
    <row r="121" spans="2:28">
      <c r="B121" s="156"/>
      <c r="C121" s="157"/>
      <c r="D121" s="157"/>
      <c r="E121" s="157"/>
      <c r="F121" s="157"/>
      <c r="G121" s="157"/>
      <c r="I121" s="157"/>
      <c r="J121" s="157"/>
      <c r="K121" s="157"/>
      <c r="L121" s="157"/>
      <c r="M121" s="157"/>
      <c r="O121" s="180"/>
      <c r="P121" s="180"/>
      <c r="Q121" s="180"/>
      <c r="R121" s="180"/>
      <c r="S121" s="180"/>
      <c r="AB121" s="79"/>
    </row>
    <row r="122" spans="2:28">
      <c r="B122" s="156"/>
      <c r="C122" s="157"/>
      <c r="D122" s="157"/>
      <c r="E122" s="157"/>
      <c r="F122" s="157"/>
      <c r="G122" s="157"/>
      <c r="I122" s="157"/>
      <c r="J122" s="157"/>
      <c r="K122" s="157"/>
      <c r="L122" s="157"/>
      <c r="M122" s="157"/>
      <c r="O122" s="180"/>
      <c r="P122" s="180"/>
      <c r="Q122" s="180"/>
      <c r="R122" s="180"/>
      <c r="S122" s="180"/>
      <c r="AB122" s="79"/>
    </row>
    <row r="123" spans="2:28">
      <c r="B123" s="156"/>
      <c r="C123" s="157"/>
      <c r="D123" s="157"/>
      <c r="E123" s="157"/>
      <c r="F123" s="157"/>
      <c r="G123" s="157"/>
      <c r="I123" s="157"/>
      <c r="J123" s="157"/>
      <c r="K123" s="157"/>
      <c r="L123" s="157"/>
      <c r="M123" s="157"/>
      <c r="O123" s="180"/>
      <c r="P123" s="180"/>
      <c r="Q123" s="180"/>
      <c r="R123" s="180"/>
      <c r="S123" s="180"/>
      <c r="AB123" s="79"/>
    </row>
    <row r="124" spans="2:28">
      <c r="B124" s="156"/>
      <c r="C124" s="157"/>
      <c r="D124" s="157"/>
      <c r="E124" s="157"/>
      <c r="F124" s="157"/>
      <c r="G124" s="157"/>
      <c r="I124" s="157"/>
      <c r="J124" s="157"/>
      <c r="K124" s="157"/>
      <c r="L124" s="157"/>
      <c r="M124" s="157"/>
      <c r="O124" s="180"/>
      <c r="P124" s="180"/>
      <c r="Q124" s="180"/>
      <c r="R124" s="180"/>
      <c r="S124" s="180"/>
      <c r="AB124" s="79"/>
    </row>
    <row r="125" spans="2:28">
      <c r="B125" s="156"/>
      <c r="AB125" s="79"/>
    </row>
    <row r="126" spans="2:28">
      <c r="B126" s="156"/>
      <c r="C126" s="107" t="s">
        <v>126</v>
      </c>
      <c r="AB126" s="79"/>
    </row>
    <row r="127" spans="2:28">
      <c r="B127" s="156"/>
      <c r="C127" s="175" t="s">
        <v>13</v>
      </c>
      <c r="D127" s="175" t="s">
        <v>69</v>
      </c>
      <c r="E127" s="176" t="s">
        <v>127</v>
      </c>
      <c r="F127" s="176" t="s">
        <v>128</v>
      </c>
      <c r="G127" s="176" t="s">
        <v>129</v>
      </c>
      <c r="H127" s="176" t="s">
        <v>130</v>
      </c>
      <c r="I127" s="176" t="s">
        <v>131</v>
      </c>
      <c r="J127" s="176" t="s">
        <v>132</v>
      </c>
      <c r="K127" s="176" t="s">
        <v>133</v>
      </c>
      <c r="L127" s="176" t="s">
        <v>134</v>
      </c>
      <c r="M127" s="175" t="s">
        <v>135</v>
      </c>
      <c r="N127" s="175" t="s">
        <v>136</v>
      </c>
      <c r="O127" s="175" t="s">
        <v>137</v>
      </c>
      <c r="P127" s="175" t="s">
        <v>138</v>
      </c>
      <c r="Q127" s="175" t="s">
        <v>139</v>
      </c>
      <c r="R127" s="175" t="s">
        <v>140</v>
      </c>
      <c r="S127" s="181" t="s">
        <v>141</v>
      </c>
      <c r="AB127" s="79"/>
    </row>
    <row r="128" spans="2:28">
      <c r="B128" s="156"/>
      <c r="C128" s="177" t="s">
        <v>26</v>
      </c>
      <c r="D128" s="177" t="s">
        <v>26</v>
      </c>
      <c r="E128" s="177" t="s">
        <v>26</v>
      </c>
      <c r="F128" s="177" t="s">
        <v>26</v>
      </c>
      <c r="G128" s="177" t="s">
        <v>26</v>
      </c>
      <c r="H128" s="177" t="s">
        <v>26</v>
      </c>
      <c r="I128" s="177" t="s">
        <v>26</v>
      </c>
      <c r="J128" s="177" t="s">
        <v>26</v>
      </c>
      <c r="K128" s="177" t="s">
        <v>26</v>
      </c>
      <c r="L128" s="177" t="s">
        <v>26</v>
      </c>
      <c r="M128" s="177" t="s">
        <v>26</v>
      </c>
      <c r="N128" s="177" t="s">
        <v>26</v>
      </c>
      <c r="O128" s="177" t="s">
        <v>26</v>
      </c>
      <c r="P128" s="177" t="s">
        <v>26</v>
      </c>
      <c r="Q128" s="177" t="s">
        <v>26</v>
      </c>
      <c r="R128" s="177" t="s">
        <v>26</v>
      </c>
      <c r="S128" s="177" t="s">
        <v>26</v>
      </c>
      <c r="AB128" s="79"/>
    </row>
    <row r="129" spans="2:28">
      <c r="B129" s="156"/>
      <c r="C129" s="177" t="s">
        <v>26</v>
      </c>
      <c r="D129" s="177" t="s">
        <v>26</v>
      </c>
      <c r="E129" s="177" t="s">
        <v>26</v>
      </c>
      <c r="F129" s="177" t="s">
        <v>26</v>
      </c>
      <c r="G129" s="177" t="s">
        <v>26</v>
      </c>
      <c r="H129" s="177" t="s">
        <v>26</v>
      </c>
      <c r="I129" s="177" t="s">
        <v>26</v>
      </c>
      <c r="J129" s="177" t="s">
        <v>26</v>
      </c>
      <c r="K129" s="177" t="s">
        <v>26</v>
      </c>
      <c r="L129" s="177" t="s">
        <v>26</v>
      </c>
      <c r="M129" s="177" t="s">
        <v>26</v>
      </c>
      <c r="N129" s="177" t="s">
        <v>26</v>
      </c>
      <c r="O129" s="177" t="s">
        <v>26</v>
      </c>
      <c r="P129" s="177" t="s">
        <v>26</v>
      </c>
      <c r="Q129" s="177" t="s">
        <v>26</v>
      </c>
      <c r="R129" s="177" t="s">
        <v>26</v>
      </c>
      <c r="S129" s="177" t="s">
        <v>26</v>
      </c>
      <c r="AB129" s="79"/>
    </row>
    <row r="130" spans="2:28">
      <c r="B130" s="156"/>
      <c r="C130" s="107"/>
      <c r="AB130" s="79"/>
    </row>
    <row r="131" spans="2:28">
      <c r="B131" s="156"/>
      <c r="C131" s="107" t="s">
        <v>142</v>
      </c>
      <c r="AB131" s="79"/>
    </row>
    <row r="132" spans="2:28">
      <c r="B132" s="156"/>
      <c r="C132" s="85" t="s">
        <v>127</v>
      </c>
      <c r="O132" s="182" t="s">
        <v>134</v>
      </c>
      <c r="P132" s="183"/>
      <c r="Q132" s="183"/>
      <c r="R132" s="183"/>
      <c r="S132" s="183"/>
      <c r="T132" s="183"/>
      <c r="AB132" s="79"/>
    </row>
    <row r="133" spans="2:28">
      <c r="B133" s="156"/>
      <c r="C133" s="175" t="s">
        <v>13</v>
      </c>
      <c r="D133" s="175" t="s">
        <v>143</v>
      </c>
      <c r="E133" s="175" t="s">
        <v>144</v>
      </c>
      <c r="F133" s="176" t="s">
        <v>145</v>
      </c>
      <c r="G133" s="176" t="s">
        <v>146</v>
      </c>
      <c r="H133" s="176" t="s">
        <v>147</v>
      </c>
      <c r="I133" s="176" t="s">
        <v>148</v>
      </c>
      <c r="J133" s="181" t="s">
        <v>149</v>
      </c>
      <c r="K133" s="181" t="s">
        <v>150</v>
      </c>
      <c r="L133" s="181" t="s">
        <v>151</v>
      </c>
      <c r="M133" s="181" t="s">
        <v>148</v>
      </c>
      <c r="O133" s="184" t="s">
        <v>13</v>
      </c>
      <c r="P133" s="184" t="s">
        <v>152</v>
      </c>
      <c r="Q133" s="184" t="s">
        <v>153</v>
      </c>
      <c r="R133" s="184" t="s">
        <v>154</v>
      </c>
      <c r="S133" s="184" t="s">
        <v>155</v>
      </c>
      <c r="T133" s="184" t="s">
        <v>156</v>
      </c>
      <c r="AB133" s="79"/>
    </row>
    <row r="134" ht="42.75" spans="2:28">
      <c r="B134" s="156"/>
      <c r="C134" s="177" t="s">
        <v>26</v>
      </c>
      <c r="D134" s="178" t="s">
        <v>26</v>
      </c>
      <c r="E134" s="178" t="s">
        <v>26</v>
      </c>
      <c r="F134" s="179" t="s">
        <v>157</v>
      </c>
      <c r="G134" s="179" t="s">
        <v>158</v>
      </c>
      <c r="H134" s="177" t="s">
        <v>26</v>
      </c>
      <c r="I134" s="177" t="s">
        <v>26</v>
      </c>
      <c r="J134" s="177" t="s">
        <v>26</v>
      </c>
      <c r="K134" s="177" t="s">
        <v>26</v>
      </c>
      <c r="L134" s="177" t="s">
        <v>26</v>
      </c>
      <c r="M134" s="177" t="s">
        <v>26</v>
      </c>
      <c r="O134" s="185" t="s">
        <v>26</v>
      </c>
      <c r="P134" s="186"/>
      <c r="Q134" s="186"/>
      <c r="R134" s="186"/>
      <c r="S134" s="185"/>
      <c r="T134" s="185"/>
      <c r="AB134" s="79"/>
    </row>
    <row r="135" spans="2:28">
      <c r="B135" s="156"/>
      <c r="C135" s="177" t="s">
        <v>26</v>
      </c>
      <c r="D135" s="177" t="s">
        <v>26</v>
      </c>
      <c r="E135" s="177" t="s">
        <v>26</v>
      </c>
      <c r="F135" s="177" t="s">
        <v>26</v>
      </c>
      <c r="G135" s="177" t="s">
        <v>26</v>
      </c>
      <c r="H135" s="177" t="s">
        <v>26</v>
      </c>
      <c r="I135" s="177" t="s">
        <v>26</v>
      </c>
      <c r="J135" s="177" t="s">
        <v>26</v>
      </c>
      <c r="K135" s="177" t="s">
        <v>26</v>
      </c>
      <c r="L135" s="177" t="s">
        <v>26</v>
      </c>
      <c r="M135" s="177" t="s">
        <v>26</v>
      </c>
      <c r="O135" s="185" t="s">
        <v>26</v>
      </c>
      <c r="P135" s="185"/>
      <c r="Q135" s="185"/>
      <c r="R135" s="185"/>
      <c r="S135" s="185"/>
      <c r="T135" s="185"/>
      <c r="AB135" s="79"/>
    </row>
    <row r="136" spans="2:28">
      <c r="B136" s="156"/>
      <c r="C136" s="107"/>
      <c r="AB136" s="79"/>
    </row>
    <row r="137" spans="2:28">
      <c r="B137" s="156"/>
      <c r="C137" s="85" t="s">
        <v>159</v>
      </c>
      <c r="O137" s="85" t="s">
        <v>160</v>
      </c>
      <c r="AB137" s="79"/>
    </row>
    <row r="138" spans="2:28">
      <c r="B138" s="156"/>
      <c r="C138" s="175" t="s">
        <v>13</v>
      </c>
      <c r="D138" s="175" t="s">
        <v>143</v>
      </c>
      <c r="E138" s="175" t="s">
        <v>144</v>
      </c>
      <c r="F138" s="176" t="s">
        <v>145</v>
      </c>
      <c r="G138" s="176" t="s">
        <v>146</v>
      </c>
      <c r="H138" s="176" t="s">
        <v>147</v>
      </c>
      <c r="I138" s="176" t="s">
        <v>148</v>
      </c>
      <c r="J138" s="181" t="s">
        <v>149</v>
      </c>
      <c r="K138" s="181" t="s">
        <v>150</v>
      </c>
      <c r="L138" s="181" t="s">
        <v>151</v>
      </c>
      <c r="M138" s="181" t="s">
        <v>148</v>
      </c>
      <c r="O138" s="175" t="s">
        <v>13</v>
      </c>
      <c r="P138" s="175" t="s">
        <v>143</v>
      </c>
      <c r="Q138" s="175" t="s">
        <v>144</v>
      </c>
      <c r="R138" s="176" t="s">
        <v>145</v>
      </c>
      <c r="S138" s="176" t="s">
        <v>146</v>
      </c>
      <c r="T138" s="176" t="s">
        <v>147</v>
      </c>
      <c r="U138" s="176" t="s">
        <v>148</v>
      </c>
      <c r="V138" s="181" t="s">
        <v>149</v>
      </c>
      <c r="W138" s="181" t="s">
        <v>150</v>
      </c>
      <c r="X138" s="181" t="s">
        <v>151</v>
      </c>
      <c r="Y138" s="181" t="s">
        <v>148</v>
      </c>
      <c r="AB138" s="79"/>
    </row>
    <row r="139" spans="2:28">
      <c r="B139" s="156"/>
      <c r="C139" s="177" t="s">
        <v>26</v>
      </c>
      <c r="D139" s="178" t="s">
        <v>26</v>
      </c>
      <c r="E139" s="178" t="s">
        <v>26</v>
      </c>
      <c r="F139" s="177" t="s">
        <v>26</v>
      </c>
      <c r="G139" s="177" t="s">
        <v>26</v>
      </c>
      <c r="H139" s="177" t="s">
        <v>26</v>
      </c>
      <c r="I139" s="177" t="s">
        <v>26</v>
      </c>
      <c r="J139" s="177" t="s">
        <v>26</v>
      </c>
      <c r="K139" s="177" t="s">
        <v>26</v>
      </c>
      <c r="L139" s="177" t="s">
        <v>26</v>
      </c>
      <c r="M139" s="177" t="s">
        <v>26</v>
      </c>
      <c r="O139" s="177" t="s">
        <v>26</v>
      </c>
      <c r="P139" s="178" t="s">
        <v>26</v>
      </c>
      <c r="Q139" s="178" t="s">
        <v>26</v>
      </c>
      <c r="R139" s="177" t="s">
        <v>26</v>
      </c>
      <c r="S139" s="177" t="s">
        <v>26</v>
      </c>
      <c r="T139" s="177" t="s">
        <v>26</v>
      </c>
      <c r="U139" s="177" t="s">
        <v>26</v>
      </c>
      <c r="V139" s="177" t="s">
        <v>26</v>
      </c>
      <c r="W139" s="177" t="s">
        <v>26</v>
      </c>
      <c r="X139" s="177" t="s">
        <v>26</v>
      </c>
      <c r="Y139" s="177" t="s">
        <v>26</v>
      </c>
      <c r="AB139" s="79"/>
    </row>
    <row r="140" spans="2:28">
      <c r="B140" s="156"/>
      <c r="C140" s="177" t="s">
        <v>26</v>
      </c>
      <c r="D140" s="177" t="s">
        <v>26</v>
      </c>
      <c r="E140" s="177" t="s">
        <v>26</v>
      </c>
      <c r="F140" s="177" t="s">
        <v>26</v>
      </c>
      <c r="G140" s="177" t="s">
        <v>26</v>
      </c>
      <c r="H140" s="177" t="s">
        <v>26</v>
      </c>
      <c r="I140" s="177" t="s">
        <v>26</v>
      </c>
      <c r="J140" s="177" t="s">
        <v>26</v>
      </c>
      <c r="K140" s="177" t="s">
        <v>26</v>
      </c>
      <c r="L140" s="177" t="s">
        <v>26</v>
      </c>
      <c r="M140" s="177" t="s">
        <v>26</v>
      </c>
      <c r="O140" s="177" t="s">
        <v>26</v>
      </c>
      <c r="P140" s="177" t="s">
        <v>26</v>
      </c>
      <c r="Q140" s="177" t="s">
        <v>26</v>
      </c>
      <c r="R140" s="177" t="s">
        <v>26</v>
      </c>
      <c r="S140" s="177" t="s">
        <v>26</v>
      </c>
      <c r="T140" s="177" t="s">
        <v>26</v>
      </c>
      <c r="U140" s="177" t="s">
        <v>26</v>
      </c>
      <c r="V140" s="177" t="s">
        <v>26</v>
      </c>
      <c r="W140" s="177" t="s">
        <v>26</v>
      </c>
      <c r="X140" s="177" t="s">
        <v>26</v>
      </c>
      <c r="Y140" s="177" t="s">
        <v>26</v>
      </c>
      <c r="AB140" s="79"/>
    </row>
    <row r="141" spans="2:28">
      <c r="B141" s="156"/>
      <c r="C141" s="107"/>
      <c r="AB141" s="79"/>
    </row>
    <row r="142" spans="2:28">
      <c r="B142" s="156"/>
      <c r="C142" s="85" t="s">
        <v>161</v>
      </c>
      <c r="O142" s="85" t="s">
        <v>162</v>
      </c>
      <c r="AB142" s="79"/>
    </row>
    <row r="143" spans="2:28">
      <c r="B143" s="156"/>
      <c r="C143" s="175" t="s">
        <v>13</v>
      </c>
      <c r="D143" s="175" t="s">
        <v>143</v>
      </c>
      <c r="E143" s="175" t="s">
        <v>144</v>
      </c>
      <c r="F143" s="176" t="s">
        <v>145</v>
      </c>
      <c r="G143" s="176" t="s">
        <v>146</v>
      </c>
      <c r="H143" s="176" t="s">
        <v>147</v>
      </c>
      <c r="I143" s="176" t="s">
        <v>148</v>
      </c>
      <c r="J143" s="181" t="s">
        <v>149</v>
      </c>
      <c r="K143" s="181" t="s">
        <v>150</v>
      </c>
      <c r="L143" s="181" t="s">
        <v>151</v>
      </c>
      <c r="M143" s="181" t="s">
        <v>148</v>
      </c>
      <c r="O143" s="175" t="s">
        <v>13</v>
      </c>
      <c r="P143" s="175" t="s">
        <v>143</v>
      </c>
      <c r="Q143" s="175" t="s">
        <v>144</v>
      </c>
      <c r="R143" s="176" t="s">
        <v>145</v>
      </c>
      <c r="S143" s="176" t="s">
        <v>146</v>
      </c>
      <c r="T143" s="176" t="s">
        <v>147</v>
      </c>
      <c r="U143" s="176" t="s">
        <v>148</v>
      </c>
      <c r="V143" s="181" t="s">
        <v>149</v>
      </c>
      <c r="W143" s="181" t="s">
        <v>150</v>
      </c>
      <c r="X143" s="181" t="s">
        <v>151</v>
      </c>
      <c r="Y143" s="181" t="s">
        <v>148</v>
      </c>
      <c r="AB143" s="79"/>
    </row>
    <row r="144" spans="2:28">
      <c r="B144" s="156"/>
      <c r="C144" s="177" t="s">
        <v>26</v>
      </c>
      <c r="D144" s="178" t="s">
        <v>26</v>
      </c>
      <c r="E144" s="178" t="s">
        <v>26</v>
      </c>
      <c r="F144" s="177" t="s">
        <v>26</v>
      </c>
      <c r="G144" s="177" t="s">
        <v>26</v>
      </c>
      <c r="H144" s="177" t="s">
        <v>26</v>
      </c>
      <c r="I144" s="177" t="s">
        <v>26</v>
      </c>
      <c r="J144" s="177" t="s">
        <v>26</v>
      </c>
      <c r="K144" s="177" t="s">
        <v>26</v>
      </c>
      <c r="L144" s="177" t="s">
        <v>26</v>
      </c>
      <c r="M144" s="177" t="s">
        <v>26</v>
      </c>
      <c r="O144" s="177" t="s">
        <v>26</v>
      </c>
      <c r="P144" s="178" t="s">
        <v>26</v>
      </c>
      <c r="Q144" s="178" t="s">
        <v>26</v>
      </c>
      <c r="R144" s="177" t="s">
        <v>26</v>
      </c>
      <c r="S144" s="177" t="s">
        <v>26</v>
      </c>
      <c r="T144" s="177" t="s">
        <v>26</v>
      </c>
      <c r="U144" s="177" t="s">
        <v>26</v>
      </c>
      <c r="V144" s="177" t="s">
        <v>26</v>
      </c>
      <c r="W144" s="177" t="s">
        <v>26</v>
      </c>
      <c r="X144" s="177" t="s">
        <v>26</v>
      </c>
      <c r="Y144" s="177" t="s">
        <v>26</v>
      </c>
      <c r="AB144" s="79"/>
    </row>
    <row r="145" spans="2:28">
      <c r="B145" s="156"/>
      <c r="C145" s="177" t="s">
        <v>26</v>
      </c>
      <c r="D145" s="177" t="s">
        <v>26</v>
      </c>
      <c r="E145" s="177" t="s">
        <v>26</v>
      </c>
      <c r="F145" s="177" t="s">
        <v>26</v>
      </c>
      <c r="G145" s="177" t="s">
        <v>26</v>
      </c>
      <c r="H145" s="177" t="s">
        <v>26</v>
      </c>
      <c r="I145" s="177" t="s">
        <v>26</v>
      </c>
      <c r="J145" s="177" t="s">
        <v>26</v>
      </c>
      <c r="K145" s="177" t="s">
        <v>26</v>
      </c>
      <c r="L145" s="177" t="s">
        <v>26</v>
      </c>
      <c r="M145" s="177" t="s">
        <v>26</v>
      </c>
      <c r="O145" s="177" t="s">
        <v>26</v>
      </c>
      <c r="P145" s="177" t="s">
        <v>26</v>
      </c>
      <c r="Q145" s="177" t="s">
        <v>26</v>
      </c>
      <c r="R145" s="177" t="s">
        <v>26</v>
      </c>
      <c r="S145" s="177" t="s">
        <v>26</v>
      </c>
      <c r="T145" s="177" t="s">
        <v>26</v>
      </c>
      <c r="U145" s="177" t="s">
        <v>26</v>
      </c>
      <c r="V145" s="177" t="s">
        <v>26</v>
      </c>
      <c r="W145" s="177" t="s">
        <v>26</v>
      </c>
      <c r="X145" s="177" t="s">
        <v>26</v>
      </c>
      <c r="Y145" s="177" t="s">
        <v>26</v>
      </c>
      <c r="AB145" s="79"/>
    </row>
    <row r="146" spans="2:28">
      <c r="B146" s="156"/>
      <c r="C146" s="107"/>
      <c r="AB146" s="79"/>
    </row>
    <row r="147" spans="2:28">
      <c r="B147" s="156"/>
      <c r="C147" s="107" t="s">
        <v>163</v>
      </c>
      <c r="O147" s="85"/>
      <c r="AB147" s="79"/>
    </row>
    <row r="148" spans="2:28">
      <c r="B148" s="156"/>
      <c r="C148" s="85" t="s">
        <v>164</v>
      </c>
      <c r="O148" s="85" t="s">
        <v>165</v>
      </c>
      <c r="AB148" s="79"/>
    </row>
    <row r="149" spans="2:28">
      <c r="B149" s="156"/>
      <c r="C149" s="175" t="s">
        <v>13</v>
      </c>
      <c r="D149" s="175" t="s">
        <v>143</v>
      </c>
      <c r="E149" s="175" t="s">
        <v>144</v>
      </c>
      <c r="F149" s="176" t="s">
        <v>145</v>
      </c>
      <c r="G149" s="176" t="s">
        <v>146</v>
      </c>
      <c r="H149" s="176" t="s">
        <v>147</v>
      </c>
      <c r="I149" s="176" t="s">
        <v>148</v>
      </c>
      <c r="J149" s="181" t="s">
        <v>149</v>
      </c>
      <c r="K149" s="181" t="s">
        <v>150</v>
      </c>
      <c r="L149" s="181" t="s">
        <v>151</v>
      </c>
      <c r="M149" s="181" t="s">
        <v>148</v>
      </c>
      <c r="O149" s="175" t="s">
        <v>13</v>
      </c>
      <c r="P149" s="175" t="s">
        <v>143</v>
      </c>
      <c r="Q149" s="175" t="s">
        <v>144</v>
      </c>
      <c r="R149" s="176" t="s">
        <v>145</v>
      </c>
      <c r="S149" s="176" t="s">
        <v>146</v>
      </c>
      <c r="T149" s="176" t="s">
        <v>147</v>
      </c>
      <c r="U149" s="176" t="s">
        <v>148</v>
      </c>
      <c r="V149" s="181" t="s">
        <v>149</v>
      </c>
      <c r="W149" s="181" t="s">
        <v>150</v>
      </c>
      <c r="X149" s="181" t="s">
        <v>151</v>
      </c>
      <c r="Y149" s="181" t="s">
        <v>148</v>
      </c>
      <c r="AB149" s="79"/>
    </row>
    <row r="150" spans="2:28">
      <c r="B150" s="156"/>
      <c r="C150" s="177" t="s">
        <v>26</v>
      </c>
      <c r="D150" s="178" t="s">
        <v>26</v>
      </c>
      <c r="E150" s="178" t="s">
        <v>26</v>
      </c>
      <c r="F150" s="177" t="s">
        <v>26</v>
      </c>
      <c r="G150" s="177" t="s">
        <v>26</v>
      </c>
      <c r="H150" s="177" t="s">
        <v>26</v>
      </c>
      <c r="I150" s="177" t="s">
        <v>26</v>
      </c>
      <c r="J150" s="177" t="s">
        <v>26</v>
      </c>
      <c r="K150" s="177" t="s">
        <v>26</v>
      </c>
      <c r="L150" s="177" t="s">
        <v>26</v>
      </c>
      <c r="M150" s="177" t="s">
        <v>26</v>
      </c>
      <c r="O150" s="177" t="s">
        <v>26</v>
      </c>
      <c r="P150" s="178" t="s">
        <v>26</v>
      </c>
      <c r="Q150" s="178" t="s">
        <v>26</v>
      </c>
      <c r="R150" s="177" t="s">
        <v>26</v>
      </c>
      <c r="S150" s="177" t="s">
        <v>26</v>
      </c>
      <c r="T150" s="177" t="s">
        <v>26</v>
      </c>
      <c r="U150" s="177" t="s">
        <v>26</v>
      </c>
      <c r="V150" s="177" t="s">
        <v>26</v>
      </c>
      <c r="W150" s="177" t="s">
        <v>26</v>
      </c>
      <c r="X150" s="177" t="s">
        <v>26</v>
      </c>
      <c r="Y150" s="177" t="s">
        <v>26</v>
      </c>
      <c r="AB150" s="79"/>
    </row>
    <row r="151" spans="2:28">
      <c r="B151" s="156"/>
      <c r="C151" s="177" t="s">
        <v>26</v>
      </c>
      <c r="D151" s="177" t="s">
        <v>26</v>
      </c>
      <c r="E151" s="177" t="s">
        <v>26</v>
      </c>
      <c r="F151" s="177" t="s">
        <v>26</v>
      </c>
      <c r="G151" s="177" t="s">
        <v>26</v>
      </c>
      <c r="H151" s="177" t="s">
        <v>26</v>
      </c>
      <c r="I151" s="177" t="s">
        <v>26</v>
      </c>
      <c r="J151" s="177" t="s">
        <v>26</v>
      </c>
      <c r="K151" s="177" t="s">
        <v>26</v>
      </c>
      <c r="L151" s="177" t="s">
        <v>26</v>
      </c>
      <c r="M151" s="177" t="s">
        <v>26</v>
      </c>
      <c r="O151" s="177" t="s">
        <v>26</v>
      </c>
      <c r="P151" s="177" t="s">
        <v>26</v>
      </c>
      <c r="Q151" s="177" t="s">
        <v>26</v>
      </c>
      <c r="R151" s="177" t="s">
        <v>26</v>
      </c>
      <c r="S151" s="177" t="s">
        <v>26</v>
      </c>
      <c r="T151" s="177" t="s">
        <v>26</v>
      </c>
      <c r="U151" s="177" t="s">
        <v>26</v>
      </c>
      <c r="V151" s="177" t="s">
        <v>26</v>
      </c>
      <c r="W151" s="177" t="s">
        <v>26</v>
      </c>
      <c r="X151" s="177" t="s">
        <v>26</v>
      </c>
      <c r="Y151" s="177" t="s">
        <v>26</v>
      </c>
      <c r="AB151" s="79"/>
    </row>
    <row r="152" spans="2:28">
      <c r="B152" s="156"/>
      <c r="C152" s="107"/>
      <c r="AB152" s="79"/>
    </row>
    <row r="153" spans="2:28">
      <c r="B153" s="156"/>
      <c r="C153" s="85" t="s">
        <v>166</v>
      </c>
      <c r="O153" s="85" t="s">
        <v>167</v>
      </c>
      <c r="AB153" s="79"/>
    </row>
    <row r="154" spans="2:28">
      <c r="B154" s="156"/>
      <c r="C154" s="175" t="s">
        <v>13</v>
      </c>
      <c r="D154" s="175" t="s">
        <v>143</v>
      </c>
      <c r="E154" s="175" t="s">
        <v>144</v>
      </c>
      <c r="F154" s="176" t="s">
        <v>145</v>
      </c>
      <c r="G154" s="176" t="s">
        <v>146</v>
      </c>
      <c r="H154" s="176" t="s">
        <v>147</v>
      </c>
      <c r="I154" s="176" t="s">
        <v>148</v>
      </c>
      <c r="J154" s="181" t="s">
        <v>149</v>
      </c>
      <c r="K154" s="181" t="s">
        <v>150</v>
      </c>
      <c r="L154" s="181" t="s">
        <v>151</v>
      </c>
      <c r="M154" s="181" t="s">
        <v>148</v>
      </c>
      <c r="O154" s="175" t="s">
        <v>13</v>
      </c>
      <c r="P154" s="175" t="s">
        <v>143</v>
      </c>
      <c r="Q154" s="175" t="s">
        <v>144</v>
      </c>
      <c r="R154" s="176" t="s">
        <v>145</v>
      </c>
      <c r="S154" s="176" t="s">
        <v>146</v>
      </c>
      <c r="T154" s="176" t="s">
        <v>147</v>
      </c>
      <c r="U154" s="176" t="s">
        <v>148</v>
      </c>
      <c r="V154" s="181" t="s">
        <v>149</v>
      </c>
      <c r="W154" s="181" t="s">
        <v>150</v>
      </c>
      <c r="X154" s="181" t="s">
        <v>151</v>
      </c>
      <c r="Y154" s="181" t="s">
        <v>148</v>
      </c>
      <c r="AB154" s="79"/>
    </row>
    <row r="155" spans="2:28">
      <c r="B155" s="156"/>
      <c r="C155" s="177" t="s">
        <v>26</v>
      </c>
      <c r="D155" s="178" t="s">
        <v>26</v>
      </c>
      <c r="E155" s="178" t="s">
        <v>26</v>
      </c>
      <c r="F155" s="177" t="s">
        <v>26</v>
      </c>
      <c r="G155" s="177" t="s">
        <v>26</v>
      </c>
      <c r="H155" s="177" t="s">
        <v>26</v>
      </c>
      <c r="I155" s="177" t="s">
        <v>26</v>
      </c>
      <c r="J155" s="177" t="s">
        <v>26</v>
      </c>
      <c r="K155" s="177" t="s">
        <v>26</v>
      </c>
      <c r="L155" s="177" t="s">
        <v>26</v>
      </c>
      <c r="M155" s="177" t="s">
        <v>26</v>
      </c>
      <c r="O155" s="177" t="s">
        <v>26</v>
      </c>
      <c r="P155" s="178" t="s">
        <v>26</v>
      </c>
      <c r="Q155" s="178" t="s">
        <v>26</v>
      </c>
      <c r="R155" s="177" t="s">
        <v>26</v>
      </c>
      <c r="S155" s="177" t="s">
        <v>26</v>
      </c>
      <c r="T155" s="177" t="s">
        <v>26</v>
      </c>
      <c r="U155" s="177" t="s">
        <v>26</v>
      </c>
      <c r="V155" s="177" t="s">
        <v>26</v>
      </c>
      <c r="W155" s="177" t="s">
        <v>26</v>
      </c>
      <c r="X155" s="177" t="s">
        <v>26</v>
      </c>
      <c r="Y155" s="177" t="s">
        <v>26</v>
      </c>
      <c r="AB155" s="79"/>
    </row>
    <row r="156" spans="2:28">
      <c r="B156" s="156"/>
      <c r="C156" s="177" t="s">
        <v>26</v>
      </c>
      <c r="D156" s="177" t="s">
        <v>26</v>
      </c>
      <c r="E156" s="177" t="s">
        <v>26</v>
      </c>
      <c r="F156" s="177" t="s">
        <v>26</v>
      </c>
      <c r="G156" s="177" t="s">
        <v>26</v>
      </c>
      <c r="H156" s="177" t="s">
        <v>26</v>
      </c>
      <c r="I156" s="177" t="s">
        <v>26</v>
      </c>
      <c r="J156" s="177" t="s">
        <v>26</v>
      </c>
      <c r="K156" s="177" t="s">
        <v>26</v>
      </c>
      <c r="L156" s="177" t="s">
        <v>26</v>
      </c>
      <c r="M156" s="177" t="s">
        <v>26</v>
      </c>
      <c r="O156" s="177" t="s">
        <v>26</v>
      </c>
      <c r="P156" s="177" t="s">
        <v>26</v>
      </c>
      <c r="Q156" s="177" t="s">
        <v>26</v>
      </c>
      <c r="R156" s="177" t="s">
        <v>26</v>
      </c>
      <c r="S156" s="177" t="s">
        <v>26</v>
      </c>
      <c r="T156" s="177" t="s">
        <v>26</v>
      </c>
      <c r="U156" s="177" t="s">
        <v>26</v>
      </c>
      <c r="V156" s="177" t="s">
        <v>26</v>
      </c>
      <c r="W156" s="177" t="s">
        <v>26</v>
      </c>
      <c r="X156" s="177" t="s">
        <v>26</v>
      </c>
      <c r="Y156" s="177" t="s">
        <v>26</v>
      </c>
      <c r="AB156" s="79"/>
    </row>
    <row r="157" spans="2:28">
      <c r="B157" s="156"/>
      <c r="C157" s="107"/>
      <c r="AB157" s="79"/>
    </row>
    <row r="158" spans="2:28">
      <c r="B158" s="156"/>
      <c r="C158" s="85" t="s">
        <v>168</v>
      </c>
      <c r="O158" s="85" t="s">
        <v>140</v>
      </c>
      <c r="AB158" s="79"/>
    </row>
    <row r="159" spans="2:28">
      <c r="B159" s="156"/>
      <c r="C159" s="175" t="s">
        <v>13</v>
      </c>
      <c r="D159" s="175" t="s">
        <v>143</v>
      </c>
      <c r="E159" s="175" t="s">
        <v>144</v>
      </c>
      <c r="F159" s="176" t="s">
        <v>145</v>
      </c>
      <c r="G159" s="176" t="s">
        <v>146</v>
      </c>
      <c r="H159" s="176" t="s">
        <v>147</v>
      </c>
      <c r="I159" s="176" t="s">
        <v>148</v>
      </c>
      <c r="J159" s="181" t="s">
        <v>149</v>
      </c>
      <c r="K159" s="181" t="s">
        <v>150</v>
      </c>
      <c r="L159" s="181" t="s">
        <v>151</v>
      </c>
      <c r="M159" s="181" t="s">
        <v>148</v>
      </c>
      <c r="O159" s="175" t="s">
        <v>13</v>
      </c>
      <c r="P159" s="175" t="s">
        <v>143</v>
      </c>
      <c r="Q159" s="175" t="s">
        <v>144</v>
      </c>
      <c r="R159" s="176" t="s">
        <v>145</v>
      </c>
      <c r="S159" s="176" t="s">
        <v>146</v>
      </c>
      <c r="T159" s="176" t="s">
        <v>147</v>
      </c>
      <c r="U159" s="176" t="s">
        <v>148</v>
      </c>
      <c r="V159" s="181" t="s">
        <v>149</v>
      </c>
      <c r="W159" s="181" t="s">
        <v>150</v>
      </c>
      <c r="X159" s="181" t="s">
        <v>151</v>
      </c>
      <c r="Y159" s="181" t="s">
        <v>148</v>
      </c>
      <c r="AB159" s="79"/>
    </row>
    <row r="160" spans="2:28">
      <c r="B160" s="156"/>
      <c r="C160" s="177" t="s">
        <v>26</v>
      </c>
      <c r="D160" s="178" t="s">
        <v>26</v>
      </c>
      <c r="E160" s="178" t="s">
        <v>26</v>
      </c>
      <c r="F160" s="177" t="s">
        <v>26</v>
      </c>
      <c r="G160" s="177" t="s">
        <v>26</v>
      </c>
      <c r="H160" s="177" t="s">
        <v>26</v>
      </c>
      <c r="I160" s="177" t="s">
        <v>26</v>
      </c>
      <c r="J160" s="177" t="s">
        <v>26</v>
      </c>
      <c r="K160" s="177" t="s">
        <v>26</v>
      </c>
      <c r="L160" s="177" t="s">
        <v>26</v>
      </c>
      <c r="M160" s="177" t="s">
        <v>26</v>
      </c>
      <c r="O160" s="177" t="s">
        <v>26</v>
      </c>
      <c r="P160" s="178" t="s">
        <v>26</v>
      </c>
      <c r="Q160" s="178" t="s">
        <v>26</v>
      </c>
      <c r="R160" s="177" t="s">
        <v>26</v>
      </c>
      <c r="S160" s="177" t="s">
        <v>26</v>
      </c>
      <c r="T160" s="177" t="s">
        <v>26</v>
      </c>
      <c r="U160" s="177" t="s">
        <v>26</v>
      </c>
      <c r="V160" s="177" t="s">
        <v>26</v>
      </c>
      <c r="W160" s="177" t="s">
        <v>26</v>
      </c>
      <c r="X160" s="177" t="s">
        <v>26</v>
      </c>
      <c r="Y160" s="177" t="s">
        <v>26</v>
      </c>
      <c r="AB160" s="79"/>
    </row>
    <row r="161" spans="2:28">
      <c r="B161" s="156"/>
      <c r="C161" s="177" t="s">
        <v>26</v>
      </c>
      <c r="D161" s="177" t="s">
        <v>26</v>
      </c>
      <c r="E161" s="177" t="s">
        <v>26</v>
      </c>
      <c r="F161" s="177" t="s">
        <v>26</v>
      </c>
      <c r="G161" s="177" t="s">
        <v>26</v>
      </c>
      <c r="H161" s="177" t="s">
        <v>26</v>
      </c>
      <c r="I161" s="177" t="s">
        <v>26</v>
      </c>
      <c r="J161" s="177" t="s">
        <v>26</v>
      </c>
      <c r="K161" s="177" t="s">
        <v>26</v>
      </c>
      <c r="L161" s="177" t="s">
        <v>26</v>
      </c>
      <c r="M161" s="177" t="s">
        <v>26</v>
      </c>
      <c r="O161" s="177" t="s">
        <v>26</v>
      </c>
      <c r="P161" s="177" t="s">
        <v>26</v>
      </c>
      <c r="Q161" s="177" t="s">
        <v>26</v>
      </c>
      <c r="R161" s="177" t="s">
        <v>26</v>
      </c>
      <c r="S161" s="177" t="s">
        <v>26</v>
      </c>
      <c r="T161" s="177" t="s">
        <v>26</v>
      </c>
      <c r="U161" s="177" t="s">
        <v>26</v>
      </c>
      <c r="V161" s="177" t="s">
        <v>26</v>
      </c>
      <c r="W161" s="177" t="s">
        <v>26</v>
      </c>
      <c r="X161" s="177" t="s">
        <v>26</v>
      </c>
      <c r="Y161" s="177" t="s">
        <v>26</v>
      </c>
      <c r="AB161" s="79"/>
    </row>
    <row r="162" spans="2:28">
      <c r="B162" s="156"/>
      <c r="C162" s="107"/>
      <c r="AB162" s="79"/>
    </row>
    <row r="163" spans="2:28">
      <c r="B163" s="156"/>
      <c r="C163" s="107" t="s">
        <v>169</v>
      </c>
      <c r="AB163" s="79"/>
    </row>
    <row r="164" spans="2:28">
      <c r="B164" s="156"/>
      <c r="C164" s="175" t="s">
        <v>13</v>
      </c>
      <c r="D164" s="175" t="s">
        <v>52</v>
      </c>
      <c r="E164" s="175" t="s">
        <v>69</v>
      </c>
      <c r="F164" s="176" t="s">
        <v>127</v>
      </c>
      <c r="G164" s="176" t="s">
        <v>128</v>
      </c>
      <c r="H164" s="176" t="s">
        <v>129</v>
      </c>
      <c r="I164" s="176" t="s">
        <v>130</v>
      </c>
      <c r="J164" s="176" t="s">
        <v>131</v>
      </c>
      <c r="K164" s="176" t="s">
        <v>132</v>
      </c>
      <c r="L164" s="176" t="s">
        <v>133</v>
      </c>
      <c r="M164" s="176" t="s">
        <v>134</v>
      </c>
      <c r="N164" s="175" t="s">
        <v>135</v>
      </c>
      <c r="O164" s="175" t="s">
        <v>136</v>
      </c>
      <c r="P164" s="175" t="s">
        <v>137</v>
      </c>
      <c r="Q164" s="175" t="s">
        <v>138</v>
      </c>
      <c r="R164" s="175" t="s">
        <v>139</v>
      </c>
      <c r="S164" s="175" t="s">
        <v>140</v>
      </c>
      <c r="T164" s="181" t="s">
        <v>141</v>
      </c>
      <c r="AB164" s="79"/>
    </row>
    <row r="165" spans="2:28">
      <c r="B165" s="156"/>
      <c r="C165" s="177" t="s">
        <v>26</v>
      </c>
      <c r="D165" s="177" t="s">
        <v>26</v>
      </c>
      <c r="E165" s="177" t="s">
        <v>26</v>
      </c>
      <c r="F165" s="177" t="s">
        <v>26</v>
      </c>
      <c r="G165" s="177" t="s">
        <v>26</v>
      </c>
      <c r="H165" s="177" t="s">
        <v>26</v>
      </c>
      <c r="I165" s="177" t="s">
        <v>26</v>
      </c>
      <c r="J165" s="177" t="s">
        <v>26</v>
      </c>
      <c r="K165" s="177" t="s">
        <v>26</v>
      </c>
      <c r="L165" s="177" t="s">
        <v>26</v>
      </c>
      <c r="M165" s="177" t="s">
        <v>26</v>
      </c>
      <c r="N165" s="177" t="s">
        <v>26</v>
      </c>
      <c r="O165" s="177" t="s">
        <v>26</v>
      </c>
      <c r="P165" s="177" t="s">
        <v>26</v>
      </c>
      <c r="Q165" s="177" t="s">
        <v>26</v>
      </c>
      <c r="R165" s="177" t="s">
        <v>26</v>
      </c>
      <c r="S165" s="177" t="s">
        <v>26</v>
      </c>
      <c r="T165" s="177" t="s">
        <v>26</v>
      </c>
      <c r="AB165" s="79"/>
    </row>
    <row r="166" spans="2:28">
      <c r="B166" s="156"/>
      <c r="C166" s="177" t="s">
        <v>26</v>
      </c>
      <c r="D166" s="177" t="s">
        <v>26</v>
      </c>
      <c r="E166" s="177" t="s">
        <v>26</v>
      </c>
      <c r="F166" s="177" t="s">
        <v>26</v>
      </c>
      <c r="G166" s="177" t="s">
        <v>26</v>
      </c>
      <c r="H166" s="177" t="s">
        <v>26</v>
      </c>
      <c r="I166" s="177" t="s">
        <v>26</v>
      </c>
      <c r="J166" s="177" t="s">
        <v>26</v>
      </c>
      <c r="K166" s="177" t="s">
        <v>26</v>
      </c>
      <c r="L166" s="177" t="s">
        <v>26</v>
      </c>
      <c r="M166" s="177" t="s">
        <v>26</v>
      </c>
      <c r="N166" s="177" t="s">
        <v>26</v>
      </c>
      <c r="O166" s="177" t="s">
        <v>26</v>
      </c>
      <c r="P166" s="177" t="s">
        <v>26</v>
      </c>
      <c r="Q166" s="177" t="s">
        <v>26</v>
      </c>
      <c r="R166" s="177" t="s">
        <v>26</v>
      </c>
      <c r="S166" s="177" t="s">
        <v>26</v>
      </c>
      <c r="T166" s="177" t="s">
        <v>26</v>
      </c>
      <c r="AB166" s="79"/>
    </row>
    <row r="167" spans="2:28">
      <c r="B167" s="156"/>
      <c r="C167" s="107"/>
      <c r="AB167" s="79"/>
    </row>
    <row r="168" spans="2:28">
      <c r="B168" s="156"/>
      <c r="C168" s="107" t="s">
        <v>170</v>
      </c>
      <c r="AB168" s="79"/>
    </row>
    <row r="169" spans="2:28">
      <c r="B169" s="156"/>
      <c r="C169" s="85" t="s">
        <v>127</v>
      </c>
      <c r="P169" s="182" t="s">
        <v>134</v>
      </c>
      <c r="Q169" s="183"/>
      <c r="R169" s="183"/>
      <c r="S169" s="183"/>
      <c r="T169" s="183"/>
      <c r="U169" s="183"/>
      <c r="V169" s="183"/>
      <c r="AB169" s="79"/>
    </row>
    <row r="170" spans="2:28">
      <c r="B170" s="156"/>
      <c r="C170" s="175" t="s">
        <v>13</v>
      </c>
      <c r="D170" s="175" t="s">
        <v>52</v>
      </c>
      <c r="E170" s="175" t="s">
        <v>143</v>
      </c>
      <c r="F170" s="175" t="s">
        <v>144</v>
      </c>
      <c r="G170" s="176" t="s">
        <v>145</v>
      </c>
      <c r="H170" s="176" t="s">
        <v>146</v>
      </c>
      <c r="I170" s="176" t="s">
        <v>147</v>
      </c>
      <c r="J170" s="176" t="s">
        <v>148</v>
      </c>
      <c r="K170" s="181" t="s">
        <v>149</v>
      </c>
      <c r="L170" s="181" t="s">
        <v>150</v>
      </c>
      <c r="M170" s="181" t="s">
        <v>151</v>
      </c>
      <c r="N170" s="181" t="s">
        <v>148</v>
      </c>
      <c r="P170" s="184" t="s">
        <v>13</v>
      </c>
      <c r="Q170" s="184" t="s">
        <v>52</v>
      </c>
      <c r="R170" s="184" t="s">
        <v>152</v>
      </c>
      <c r="S170" s="184" t="s">
        <v>153</v>
      </c>
      <c r="T170" s="184" t="s">
        <v>154</v>
      </c>
      <c r="U170" s="184" t="s">
        <v>155</v>
      </c>
      <c r="V170" s="184" t="s">
        <v>156</v>
      </c>
      <c r="AB170" s="79"/>
    </row>
    <row r="171" spans="2:28">
      <c r="B171" s="156"/>
      <c r="C171" s="177" t="s">
        <v>26</v>
      </c>
      <c r="D171" s="177" t="s">
        <v>26</v>
      </c>
      <c r="E171" s="178" t="s">
        <v>26</v>
      </c>
      <c r="F171" s="178" t="s">
        <v>26</v>
      </c>
      <c r="G171" s="177" t="s">
        <v>26</v>
      </c>
      <c r="H171" s="177" t="s">
        <v>26</v>
      </c>
      <c r="I171" s="177" t="s">
        <v>26</v>
      </c>
      <c r="J171" s="177" t="s">
        <v>26</v>
      </c>
      <c r="K171" s="177" t="s">
        <v>26</v>
      </c>
      <c r="L171" s="177" t="s">
        <v>26</v>
      </c>
      <c r="M171" s="177" t="s">
        <v>26</v>
      </c>
      <c r="N171" s="177" t="s">
        <v>26</v>
      </c>
      <c r="P171" s="185" t="s">
        <v>26</v>
      </c>
      <c r="Q171" s="185" t="s">
        <v>26</v>
      </c>
      <c r="R171" s="186"/>
      <c r="S171" s="186"/>
      <c r="T171" s="186"/>
      <c r="U171" s="185"/>
      <c r="V171" s="185"/>
      <c r="AB171" s="79"/>
    </row>
    <row r="172" spans="2:28">
      <c r="B172" s="156"/>
      <c r="C172" s="177" t="s">
        <v>26</v>
      </c>
      <c r="D172" s="177" t="s">
        <v>26</v>
      </c>
      <c r="E172" s="177" t="s">
        <v>26</v>
      </c>
      <c r="F172" s="177" t="s">
        <v>26</v>
      </c>
      <c r="G172" s="177" t="s">
        <v>26</v>
      </c>
      <c r="H172" s="177" t="s">
        <v>26</v>
      </c>
      <c r="I172" s="177" t="s">
        <v>26</v>
      </c>
      <c r="J172" s="177" t="s">
        <v>26</v>
      </c>
      <c r="K172" s="177" t="s">
        <v>26</v>
      </c>
      <c r="L172" s="177" t="s">
        <v>26</v>
      </c>
      <c r="M172" s="177" t="s">
        <v>26</v>
      </c>
      <c r="N172" s="177" t="s">
        <v>26</v>
      </c>
      <c r="P172" s="185" t="s">
        <v>26</v>
      </c>
      <c r="Q172" s="185" t="s">
        <v>26</v>
      </c>
      <c r="R172" s="185"/>
      <c r="S172" s="185"/>
      <c r="T172" s="185"/>
      <c r="U172" s="185"/>
      <c r="V172" s="185"/>
      <c r="AB172" s="79"/>
    </row>
    <row r="173" spans="2:28">
      <c r="B173" s="156"/>
      <c r="C173" s="107"/>
      <c r="AB173" s="79"/>
    </row>
    <row r="174" spans="2:28">
      <c r="B174" s="156"/>
      <c r="C174" s="85" t="s">
        <v>159</v>
      </c>
      <c r="P174" s="85" t="s">
        <v>160</v>
      </c>
      <c r="Q174" s="85"/>
      <c r="AB174" s="79"/>
    </row>
    <row r="175" spans="2:28">
      <c r="B175" s="156"/>
      <c r="C175" s="175" t="s">
        <v>13</v>
      </c>
      <c r="D175" s="175" t="s">
        <v>52</v>
      </c>
      <c r="E175" s="175" t="s">
        <v>143</v>
      </c>
      <c r="F175" s="175" t="s">
        <v>144</v>
      </c>
      <c r="G175" s="176" t="s">
        <v>145</v>
      </c>
      <c r="H175" s="176" t="s">
        <v>146</v>
      </c>
      <c r="I175" s="176" t="s">
        <v>147</v>
      </c>
      <c r="J175" s="176" t="s">
        <v>148</v>
      </c>
      <c r="K175" s="181" t="s">
        <v>149</v>
      </c>
      <c r="L175" s="181" t="s">
        <v>150</v>
      </c>
      <c r="M175" s="181" t="s">
        <v>151</v>
      </c>
      <c r="N175" s="181" t="s">
        <v>148</v>
      </c>
      <c r="P175" s="175" t="s">
        <v>13</v>
      </c>
      <c r="Q175" s="175" t="s">
        <v>52</v>
      </c>
      <c r="R175" s="175" t="s">
        <v>143</v>
      </c>
      <c r="S175" s="175" t="s">
        <v>144</v>
      </c>
      <c r="T175" s="176" t="s">
        <v>145</v>
      </c>
      <c r="U175" s="176" t="s">
        <v>146</v>
      </c>
      <c r="V175" s="176" t="s">
        <v>147</v>
      </c>
      <c r="W175" s="176" t="s">
        <v>148</v>
      </c>
      <c r="X175" s="181" t="s">
        <v>149</v>
      </c>
      <c r="Y175" s="181" t="s">
        <v>150</v>
      </c>
      <c r="Z175" s="181" t="s">
        <v>151</v>
      </c>
      <c r="AA175" s="181" t="s">
        <v>148</v>
      </c>
      <c r="AB175" s="79"/>
    </row>
    <row r="176" spans="2:28">
      <c r="B176" s="156"/>
      <c r="C176" s="177" t="s">
        <v>26</v>
      </c>
      <c r="D176" s="177" t="s">
        <v>26</v>
      </c>
      <c r="E176" s="178" t="s">
        <v>26</v>
      </c>
      <c r="F176" s="178" t="s">
        <v>26</v>
      </c>
      <c r="G176" s="177" t="s">
        <v>26</v>
      </c>
      <c r="H176" s="177" t="s">
        <v>26</v>
      </c>
      <c r="I176" s="177" t="s">
        <v>26</v>
      </c>
      <c r="J176" s="177" t="s">
        <v>26</v>
      </c>
      <c r="K176" s="177" t="s">
        <v>26</v>
      </c>
      <c r="L176" s="177" t="s">
        <v>26</v>
      </c>
      <c r="M176" s="177" t="s">
        <v>26</v>
      </c>
      <c r="N176" s="177" t="s">
        <v>26</v>
      </c>
      <c r="P176" s="177" t="s">
        <v>26</v>
      </c>
      <c r="Q176" s="177" t="s">
        <v>26</v>
      </c>
      <c r="R176" s="178" t="s">
        <v>26</v>
      </c>
      <c r="S176" s="178" t="s">
        <v>26</v>
      </c>
      <c r="T176" s="177" t="s">
        <v>26</v>
      </c>
      <c r="U176" s="177" t="s">
        <v>26</v>
      </c>
      <c r="V176" s="177" t="s">
        <v>26</v>
      </c>
      <c r="W176" s="177" t="s">
        <v>26</v>
      </c>
      <c r="X176" s="177" t="s">
        <v>26</v>
      </c>
      <c r="Y176" s="177" t="s">
        <v>26</v>
      </c>
      <c r="Z176" s="177" t="s">
        <v>26</v>
      </c>
      <c r="AA176" s="177" t="s">
        <v>26</v>
      </c>
      <c r="AB176" s="79"/>
    </row>
    <row r="177" spans="2:28">
      <c r="B177" s="156"/>
      <c r="C177" s="177" t="s">
        <v>26</v>
      </c>
      <c r="D177" s="177" t="s">
        <v>26</v>
      </c>
      <c r="E177" s="177" t="s">
        <v>26</v>
      </c>
      <c r="F177" s="177" t="s">
        <v>26</v>
      </c>
      <c r="G177" s="177" t="s">
        <v>26</v>
      </c>
      <c r="H177" s="177" t="s">
        <v>26</v>
      </c>
      <c r="I177" s="177" t="s">
        <v>26</v>
      </c>
      <c r="J177" s="177" t="s">
        <v>26</v>
      </c>
      <c r="K177" s="177" t="s">
        <v>26</v>
      </c>
      <c r="L177" s="177" t="s">
        <v>26</v>
      </c>
      <c r="M177" s="177" t="s">
        <v>26</v>
      </c>
      <c r="N177" s="177" t="s">
        <v>26</v>
      </c>
      <c r="P177" s="177" t="s">
        <v>26</v>
      </c>
      <c r="Q177" s="177" t="s">
        <v>26</v>
      </c>
      <c r="R177" s="177" t="s">
        <v>26</v>
      </c>
      <c r="S177" s="177" t="s">
        <v>26</v>
      </c>
      <c r="T177" s="177" t="s">
        <v>26</v>
      </c>
      <c r="U177" s="177" t="s">
        <v>26</v>
      </c>
      <c r="V177" s="177" t="s">
        <v>26</v>
      </c>
      <c r="W177" s="177" t="s">
        <v>26</v>
      </c>
      <c r="X177" s="177" t="s">
        <v>26</v>
      </c>
      <c r="Y177" s="177" t="s">
        <v>26</v>
      </c>
      <c r="Z177" s="177" t="s">
        <v>26</v>
      </c>
      <c r="AA177" s="177" t="s">
        <v>26</v>
      </c>
      <c r="AB177" s="79"/>
    </row>
    <row r="178" spans="2:28">
      <c r="B178" s="156"/>
      <c r="C178" s="107"/>
      <c r="AB178" s="79"/>
    </row>
    <row r="179" spans="2:28">
      <c r="B179" s="156"/>
      <c r="C179" s="85" t="s">
        <v>161</v>
      </c>
      <c r="D179" s="85"/>
      <c r="P179" s="85" t="s">
        <v>162</v>
      </c>
      <c r="Q179" s="85"/>
      <c r="AB179" s="79"/>
    </row>
    <row r="180" spans="2:28">
      <c r="B180" s="156"/>
      <c r="C180" s="175" t="s">
        <v>13</v>
      </c>
      <c r="D180" s="175" t="s">
        <v>52</v>
      </c>
      <c r="E180" s="175" t="s">
        <v>143</v>
      </c>
      <c r="F180" s="175" t="s">
        <v>144</v>
      </c>
      <c r="G180" s="176" t="s">
        <v>145</v>
      </c>
      <c r="H180" s="176" t="s">
        <v>146</v>
      </c>
      <c r="I180" s="176" t="s">
        <v>147</v>
      </c>
      <c r="J180" s="176" t="s">
        <v>148</v>
      </c>
      <c r="K180" s="181" t="s">
        <v>149</v>
      </c>
      <c r="L180" s="181" t="s">
        <v>150</v>
      </c>
      <c r="M180" s="181" t="s">
        <v>151</v>
      </c>
      <c r="N180" s="181" t="s">
        <v>148</v>
      </c>
      <c r="P180" s="175" t="s">
        <v>13</v>
      </c>
      <c r="Q180" s="175" t="s">
        <v>52</v>
      </c>
      <c r="R180" s="175" t="s">
        <v>143</v>
      </c>
      <c r="S180" s="175" t="s">
        <v>144</v>
      </c>
      <c r="T180" s="176" t="s">
        <v>145</v>
      </c>
      <c r="U180" s="176" t="s">
        <v>146</v>
      </c>
      <c r="V180" s="176" t="s">
        <v>147</v>
      </c>
      <c r="W180" s="176" t="s">
        <v>148</v>
      </c>
      <c r="X180" s="181" t="s">
        <v>149</v>
      </c>
      <c r="Y180" s="181" t="s">
        <v>150</v>
      </c>
      <c r="Z180" s="181" t="s">
        <v>151</v>
      </c>
      <c r="AA180" s="181" t="s">
        <v>148</v>
      </c>
      <c r="AB180" s="79"/>
    </row>
    <row r="181" spans="2:28">
      <c r="B181" s="156"/>
      <c r="C181" s="177" t="s">
        <v>26</v>
      </c>
      <c r="D181" s="177" t="s">
        <v>26</v>
      </c>
      <c r="E181" s="178" t="s">
        <v>26</v>
      </c>
      <c r="F181" s="178" t="s">
        <v>26</v>
      </c>
      <c r="G181" s="177" t="s">
        <v>26</v>
      </c>
      <c r="H181" s="177" t="s">
        <v>26</v>
      </c>
      <c r="I181" s="177" t="s">
        <v>26</v>
      </c>
      <c r="J181" s="177" t="s">
        <v>26</v>
      </c>
      <c r="K181" s="177" t="s">
        <v>26</v>
      </c>
      <c r="L181" s="177" t="s">
        <v>26</v>
      </c>
      <c r="M181" s="177" t="s">
        <v>26</v>
      </c>
      <c r="N181" s="177" t="s">
        <v>26</v>
      </c>
      <c r="P181" s="177" t="s">
        <v>26</v>
      </c>
      <c r="Q181" s="177" t="s">
        <v>26</v>
      </c>
      <c r="R181" s="178" t="s">
        <v>26</v>
      </c>
      <c r="S181" s="178" t="s">
        <v>26</v>
      </c>
      <c r="T181" s="177" t="s">
        <v>26</v>
      </c>
      <c r="U181" s="177" t="s">
        <v>26</v>
      </c>
      <c r="V181" s="177" t="s">
        <v>26</v>
      </c>
      <c r="W181" s="177" t="s">
        <v>26</v>
      </c>
      <c r="X181" s="177" t="s">
        <v>26</v>
      </c>
      <c r="Y181" s="177" t="s">
        <v>26</v>
      </c>
      <c r="Z181" s="177" t="s">
        <v>26</v>
      </c>
      <c r="AA181" s="177" t="s">
        <v>26</v>
      </c>
      <c r="AB181" s="79"/>
    </row>
    <row r="182" spans="2:28">
      <c r="B182" s="156"/>
      <c r="C182" s="177" t="s">
        <v>26</v>
      </c>
      <c r="D182" s="177" t="s">
        <v>26</v>
      </c>
      <c r="E182" s="177" t="s">
        <v>26</v>
      </c>
      <c r="F182" s="177" t="s">
        <v>26</v>
      </c>
      <c r="G182" s="177" t="s">
        <v>26</v>
      </c>
      <c r="H182" s="177" t="s">
        <v>26</v>
      </c>
      <c r="I182" s="177" t="s">
        <v>26</v>
      </c>
      <c r="J182" s="177" t="s">
        <v>26</v>
      </c>
      <c r="K182" s="177" t="s">
        <v>26</v>
      </c>
      <c r="L182" s="177" t="s">
        <v>26</v>
      </c>
      <c r="M182" s="177" t="s">
        <v>26</v>
      </c>
      <c r="N182" s="177" t="s">
        <v>26</v>
      </c>
      <c r="P182" s="177" t="s">
        <v>26</v>
      </c>
      <c r="Q182" s="177" t="s">
        <v>26</v>
      </c>
      <c r="R182" s="177" t="s">
        <v>26</v>
      </c>
      <c r="S182" s="177" t="s">
        <v>26</v>
      </c>
      <c r="T182" s="177" t="s">
        <v>26</v>
      </c>
      <c r="U182" s="177" t="s">
        <v>26</v>
      </c>
      <c r="V182" s="177" t="s">
        <v>26</v>
      </c>
      <c r="W182" s="177" t="s">
        <v>26</v>
      </c>
      <c r="X182" s="177" t="s">
        <v>26</v>
      </c>
      <c r="Y182" s="177" t="s">
        <v>26</v>
      </c>
      <c r="Z182" s="177" t="s">
        <v>26</v>
      </c>
      <c r="AA182" s="177" t="s">
        <v>26</v>
      </c>
      <c r="AB182" s="79"/>
    </row>
    <row r="183" spans="2:28">
      <c r="B183" s="156"/>
      <c r="C183" s="107"/>
      <c r="AB183" s="79"/>
    </row>
    <row r="184" spans="2:28">
      <c r="B184" s="156"/>
      <c r="C184" s="107" t="s">
        <v>171</v>
      </c>
      <c r="AB184" s="79"/>
    </row>
    <row r="185" spans="2:28">
      <c r="B185" s="156"/>
      <c r="C185" s="85" t="s">
        <v>164</v>
      </c>
      <c r="D185" s="85"/>
      <c r="P185" s="85" t="s">
        <v>165</v>
      </c>
      <c r="Q185" s="85"/>
      <c r="AB185" s="79"/>
    </row>
    <row r="186" spans="2:28">
      <c r="B186" s="156"/>
      <c r="C186" s="175" t="s">
        <v>13</v>
      </c>
      <c r="D186" s="175" t="s">
        <v>52</v>
      </c>
      <c r="E186" s="175" t="s">
        <v>143</v>
      </c>
      <c r="F186" s="175" t="s">
        <v>144</v>
      </c>
      <c r="G186" s="176" t="s">
        <v>145</v>
      </c>
      <c r="H186" s="176" t="s">
        <v>146</v>
      </c>
      <c r="I186" s="176" t="s">
        <v>147</v>
      </c>
      <c r="J186" s="176" t="s">
        <v>148</v>
      </c>
      <c r="K186" s="181" t="s">
        <v>149</v>
      </c>
      <c r="L186" s="181" t="s">
        <v>150</v>
      </c>
      <c r="M186" s="181" t="s">
        <v>151</v>
      </c>
      <c r="N186" s="181" t="s">
        <v>148</v>
      </c>
      <c r="P186" s="175" t="s">
        <v>13</v>
      </c>
      <c r="Q186" s="175" t="s">
        <v>52</v>
      </c>
      <c r="R186" s="175" t="s">
        <v>143</v>
      </c>
      <c r="S186" s="175" t="s">
        <v>144</v>
      </c>
      <c r="T186" s="176" t="s">
        <v>145</v>
      </c>
      <c r="U186" s="176" t="s">
        <v>146</v>
      </c>
      <c r="V186" s="176" t="s">
        <v>147</v>
      </c>
      <c r="W186" s="176" t="s">
        <v>148</v>
      </c>
      <c r="X186" s="181" t="s">
        <v>149</v>
      </c>
      <c r="Y186" s="181" t="s">
        <v>150</v>
      </c>
      <c r="Z186" s="181" t="s">
        <v>151</v>
      </c>
      <c r="AA186" s="181" t="s">
        <v>148</v>
      </c>
      <c r="AB186" s="79"/>
    </row>
    <row r="187" spans="2:28">
      <c r="B187" s="156"/>
      <c r="C187" s="177" t="s">
        <v>26</v>
      </c>
      <c r="D187" s="177" t="s">
        <v>26</v>
      </c>
      <c r="E187" s="178" t="s">
        <v>26</v>
      </c>
      <c r="F187" s="178" t="s">
        <v>26</v>
      </c>
      <c r="G187" s="177" t="s">
        <v>26</v>
      </c>
      <c r="H187" s="177" t="s">
        <v>26</v>
      </c>
      <c r="I187" s="177" t="s">
        <v>26</v>
      </c>
      <c r="J187" s="177" t="s">
        <v>26</v>
      </c>
      <c r="K187" s="177" t="s">
        <v>26</v>
      </c>
      <c r="L187" s="177" t="s">
        <v>26</v>
      </c>
      <c r="M187" s="177" t="s">
        <v>26</v>
      </c>
      <c r="N187" s="177" t="s">
        <v>26</v>
      </c>
      <c r="P187" s="177" t="s">
        <v>26</v>
      </c>
      <c r="Q187" s="177" t="s">
        <v>26</v>
      </c>
      <c r="R187" s="178" t="s">
        <v>26</v>
      </c>
      <c r="S187" s="178" t="s">
        <v>26</v>
      </c>
      <c r="T187" s="177" t="s">
        <v>26</v>
      </c>
      <c r="U187" s="177" t="s">
        <v>26</v>
      </c>
      <c r="V187" s="177" t="s">
        <v>26</v>
      </c>
      <c r="W187" s="177" t="s">
        <v>26</v>
      </c>
      <c r="X187" s="177" t="s">
        <v>26</v>
      </c>
      <c r="Y187" s="177" t="s">
        <v>26</v>
      </c>
      <c r="Z187" s="177" t="s">
        <v>26</v>
      </c>
      <c r="AA187" s="177" t="s">
        <v>26</v>
      </c>
      <c r="AB187" s="79"/>
    </row>
    <row r="188" spans="2:28">
      <c r="B188" s="156"/>
      <c r="C188" s="177" t="s">
        <v>26</v>
      </c>
      <c r="D188" s="177" t="s">
        <v>26</v>
      </c>
      <c r="E188" s="177" t="s">
        <v>26</v>
      </c>
      <c r="F188" s="177" t="s">
        <v>26</v>
      </c>
      <c r="G188" s="177" t="s">
        <v>26</v>
      </c>
      <c r="H188" s="177" t="s">
        <v>26</v>
      </c>
      <c r="I188" s="177" t="s">
        <v>26</v>
      </c>
      <c r="J188" s="177" t="s">
        <v>26</v>
      </c>
      <c r="K188" s="177" t="s">
        <v>26</v>
      </c>
      <c r="L188" s="177" t="s">
        <v>26</v>
      </c>
      <c r="M188" s="177" t="s">
        <v>26</v>
      </c>
      <c r="N188" s="177" t="s">
        <v>26</v>
      </c>
      <c r="P188" s="177" t="s">
        <v>26</v>
      </c>
      <c r="Q188" s="177" t="s">
        <v>26</v>
      </c>
      <c r="R188" s="177" t="s">
        <v>26</v>
      </c>
      <c r="S188" s="177" t="s">
        <v>26</v>
      </c>
      <c r="T188" s="177" t="s">
        <v>26</v>
      </c>
      <c r="U188" s="177" t="s">
        <v>26</v>
      </c>
      <c r="V188" s="177" t="s">
        <v>26</v>
      </c>
      <c r="W188" s="177" t="s">
        <v>26</v>
      </c>
      <c r="X188" s="177" t="s">
        <v>26</v>
      </c>
      <c r="Y188" s="177" t="s">
        <v>26</v>
      </c>
      <c r="Z188" s="177" t="s">
        <v>26</v>
      </c>
      <c r="AA188" s="177" t="s">
        <v>26</v>
      </c>
      <c r="AB188" s="79"/>
    </row>
    <row r="189" spans="2:28">
      <c r="B189" s="156"/>
      <c r="C189" s="107"/>
      <c r="AB189" s="79"/>
    </row>
    <row r="190" spans="2:28">
      <c r="B190" s="156"/>
      <c r="C190" s="85" t="s">
        <v>166</v>
      </c>
      <c r="D190" s="85"/>
      <c r="P190" s="85" t="s">
        <v>167</v>
      </c>
      <c r="Q190" s="85"/>
      <c r="AB190" s="79"/>
    </row>
    <row r="191" spans="2:28">
      <c r="B191" s="156"/>
      <c r="C191" s="175" t="s">
        <v>13</v>
      </c>
      <c r="D191" s="175" t="s">
        <v>52</v>
      </c>
      <c r="E191" s="175" t="s">
        <v>143</v>
      </c>
      <c r="F191" s="175" t="s">
        <v>144</v>
      </c>
      <c r="G191" s="176" t="s">
        <v>145</v>
      </c>
      <c r="H191" s="176" t="s">
        <v>146</v>
      </c>
      <c r="I191" s="176" t="s">
        <v>147</v>
      </c>
      <c r="J191" s="176" t="s">
        <v>148</v>
      </c>
      <c r="K191" s="181" t="s">
        <v>149</v>
      </c>
      <c r="L191" s="181" t="s">
        <v>150</v>
      </c>
      <c r="M191" s="181" t="s">
        <v>151</v>
      </c>
      <c r="N191" s="181" t="s">
        <v>148</v>
      </c>
      <c r="P191" s="175" t="s">
        <v>13</v>
      </c>
      <c r="Q191" s="175" t="s">
        <v>52</v>
      </c>
      <c r="R191" s="175" t="s">
        <v>143</v>
      </c>
      <c r="S191" s="175" t="s">
        <v>144</v>
      </c>
      <c r="T191" s="176" t="s">
        <v>145</v>
      </c>
      <c r="U191" s="176" t="s">
        <v>146</v>
      </c>
      <c r="V191" s="176" t="s">
        <v>147</v>
      </c>
      <c r="W191" s="176" t="s">
        <v>148</v>
      </c>
      <c r="X191" s="181" t="s">
        <v>149</v>
      </c>
      <c r="Y191" s="181" t="s">
        <v>150</v>
      </c>
      <c r="Z191" s="181" t="s">
        <v>151</v>
      </c>
      <c r="AA191" s="181" t="s">
        <v>148</v>
      </c>
      <c r="AB191" s="79"/>
    </row>
    <row r="192" spans="2:28">
      <c r="B192" s="156"/>
      <c r="C192" s="177" t="s">
        <v>26</v>
      </c>
      <c r="D192" s="177" t="s">
        <v>26</v>
      </c>
      <c r="E192" s="178" t="s">
        <v>26</v>
      </c>
      <c r="F192" s="178" t="s">
        <v>26</v>
      </c>
      <c r="G192" s="177" t="s">
        <v>26</v>
      </c>
      <c r="H192" s="177" t="s">
        <v>26</v>
      </c>
      <c r="I192" s="177" t="s">
        <v>26</v>
      </c>
      <c r="J192" s="177" t="s">
        <v>26</v>
      </c>
      <c r="K192" s="177" t="s">
        <v>26</v>
      </c>
      <c r="L192" s="177" t="s">
        <v>26</v>
      </c>
      <c r="M192" s="177" t="s">
        <v>26</v>
      </c>
      <c r="N192" s="177" t="s">
        <v>26</v>
      </c>
      <c r="P192" s="177" t="s">
        <v>26</v>
      </c>
      <c r="Q192" s="177" t="s">
        <v>26</v>
      </c>
      <c r="R192" s="178" t="s">
        <v>26</v>
      </c>
      <c r="S192" s="178" t="s">
        <v>26</v>
      </c>
      <c r="T192" s="177" t="s">
        <v>26</v>
      </c>
      <c r="U192" s="177" t="s">
        <v>26</v>
      </c>
      <c r="V192" s="177" t="s">
        <v>26</v>
      </c>
      <c r="W192" s="177" t="s">
        <v>26</v>
      </c>
      <c r="X192" s="177" t="s">
        <v>26</v>
      </c>
      <c r="Y192" s="177" t="s">
        <v>26</v>
      </c>
      <c r="Z192" s="177" t="s">
        <v>26</v>
      </c>
      <c r="AA192" s="177" t="s">
        <v>26</v>
      </c>
      <c r="AB192" s="79"/>
    </row>
    <row r="193" spans="2:28">
      <c r="B193" s="156"/>
      <c r="C193" s="177" t="s">
        <v>26</v>
      </c>
      <c r="D193" s="177" t="s">
        <v>26</v>
      </c>
      <c r="E193" s="177" t="s">
        <v>26</v>
      </c>
      <c r="F193" s="177" t="s">
        <v>26</v>
      </c>
      <c r="G193" s="177" t="s">
        <v>26</v>
      </c>
      <c r="H193" s="177" t="s">
        <v>26</v>
      </c>
      <c r="I193" s="177" t="s">
        <v>26</v>
      </c>
      <c r="J193" s="177" t="s">
        <v>26</v>
      </c>
      <c r="K193" s="177" t="s">
        <v>26</v>
      </c>
      <c r="L193" s="177" t="s">
        <v>26</v>
      </c>
      <c r="M193" s="177" t="s">
        <v>26</v>
      </c>
      <c r="N193" s="177" t="s">
        <v>26</v>
      </c>
      <c r="P193" s="177" t="s">
        <v>26</v>
      </c>
      <c r="Q193" s="177" t="s">
        <v>26</v>
      </c>
      <c r="R193" s="177" t="s">
        <v>26</v>
      </c>
      <c r="S193" s="177" t="s">
        <v>26</v>
      </c>
      <c r="T193" s="177" t="s">
        <v>26</v>
      </c>
      <c r="U193" s="177" t="s">
        <v>26</v>
      </c>
      <c r="V193" s="177" t="s">
        <v>26</v>
      </c>
      <c r="W193" s="177" t="s">
        <v>26</v>
      </c>
      <c r="X193" s="177" t="s">
        <v>26</v>
      </c>
      <c r="Y193" s="177" t="s">
        <v>26</v>
      </c>
      <c r="Z193" s="177" t="s">
        <v>26</v>
      </c>
      <c r="AA193" s="177" t="s">
        <v>26</v>
      </c>
      <c r="AB193" s="79"/>
    </row>
    <row r="194" spans="2:28">
      <c r="B194" s="156"/>
      <c r="C194" s="107"/>
      <c r="AB194" s="79"/>
    </row>
    <row r="195" spans="2:28">
      <c r="B195" s="156"/>
      <c r="C195" s="85" t="s">
        <v>168</v>
      </c>
      <c r="D195" s="85"/>
      <c r="P195" s="85" t="s">
        <v>172</v>
      </c>
      <c r="Q195" s="85"/>
      <c r="AB195" s="79"/>
    </row>
    <row r="196" spans="2:28">
      <c r="B196" s="156"/>
      <c r="C196" s="175" t="s">
        <v>13</v>
      </c>
      <c r="D196" s="175" t="s">
        <v>52</v>
      </c>
      <c r="E196" s="175" t="s">
        <v>143</v>
      </c>
      <c r="F196" s="175" t="s">
        <v>144</v>
      </c>
      <c r="G196" s="176" t="s">
        <v>145</v>
      </c>
      <c r="H196" s="176" t="s">
        <v>146</v>
      </c>
      <c r="I196" s="176" t="s">
        <v>147</v>
      </c>
      <c r="J196" s="176" t="s">
        <v>148</v>
      </c>
      <c r="K196" s="181" t="s">
        <v>149</v>
      </c>
      <c r="L196" s="181" t="s">
        <v>150</v>
      </c>
      <c r="M196" s="181" t="s">
        <v>151</v>
      </c>
      <c r="N196" s="181" t="s">
        <v>148</v>
      </c>
      <c r="P196" s="175" t="s">
        <v>13</v>
      </c>
      <c r="Q196" s="175" t="s">
        <v>52</v>
      </c>
      <c r="R196" s="175" t="s">
        <v>143</v>
      </c>
      <c r="S196" s="175" t="s">
        <v>144</v>
      </c>
      <c r="T196" s="176" t="s">
        <v>145</v>
      </c>
      <c r="U196" s="176" t="s">
        <v>146</v>
      </c>
      <c r="V196" s="176" t="s">
        <v>147</v>
      </c>
      <c r="W196" s="176" t="s">
        <v>148</v>
      </c>
      <c r="X196" s="181" t="s">
        <v>149</v>
      </c>
      <c r="Y196" s="181" t="s">
        <v>150</v>
      </c>
      <c r="Z196" s="181" t="s">
        <v>151</v>
      </c>
      <c r="AA196" s="181" t="s">
        <v>148</v>
      </c>
      <c r="AB196" s="79"/>
    </row>
    <row r="197" spans="2:28">
      <c r="B197" s="156"/>
      <c r="C197" s="177" t="s">
        <v>26</v>
      </c>
      <c r="D197" s="177" t="s">
        <v>26</v>
      </c>
      <c r="E197" s="178" t="s">
        <v>26</v>
      </c>
      <c r="F197" s="178" t="s">
        <v>26</v>
      </c>
      <c r="G197" s="177" t="s">
        <v>26</v>
      </c>
      <c r="H197" s="177" t="s">
        <v>26</v>
      </c>
      <c r="I197" s="177" t="s">
        <v>26</v>
      </c>
      <c r="J197" s="177" t="s">
        <v>26</v>
      </c>
      <c r="K197" s="177" t="s">
        <v>26</v>
      </c>
      <c r="L197" s="177" t="s">
        <v>26</v>
      </c>
      <c r="M197" s="177" t="s">
        <v>26</v>
      </c>
      <c r="N197" s="177" t="s">
        <v>26</v>
      </c>
      <c r="P197" s="177" t="s">
        <v>26</v>
      </c>
      <c r="Q197" s="177" t="s">
        <v>26</v>
      </c>
      <c r="R197" s="178" t="s">
        <v>26</v>
      </c>
      <c r="S197" s="178" t="s">
        <v>26</v>
      </c>
      <c r="T197" s="177" t="s">
        <v>26</v>
      </c>
      <c r="U197" s="177" t="s">
        <v>26</v>
      </c>
      <c r="V197" s="177" t="s">
        <v>26</v>
      </c>
      <c r="W197" s="177" t="s">
        <v>26</v>
      </c>
      <c r="X197" s="177" t="s">
        <v>26</v>
      </c>
      <c r="Y197" s="177" t="s">
        <v>26</v>
      </c>
      <c r="Z197" s="177" t="s">
        <v>26</v>
      </c>
      <c r="AA197" s="177" t="s">
        <v>26</v>
      </c>
      <c r="AB197" s="79"/>
    </row>
    <row r="198" spans="2:28">
      <c r="B198" s="156"/>
      <c r="C198" s="177" t="s">
        <v>26</v>
      </c>
      <c r="D198" s="177" t="s">
        <v>26</v>
      </c>
      <c r="E198" s="177" t="s">
        <v>26</v>
      </c>
      <c r="F198" s="177" t="s">
        <v>26</v>
      </c>
      <c r="G198" s="177" t="s">
        <v>26</v>
      </c>
      <c r="H198" s="177" t="s">
        <v>26</v>
      </c>
      <c r="I198" s="177" t="s">
        <v>26</v>
      </c>
      <c r="J198" s="177" t="s">
        <v>26</v>
      </c>
      <c r="K198" s="177" t="s">
        <v>26</v>
      </c>
      <c r="L198" s="177" t="s">
        <v>26</v>
      </c>
      <c r="M198" s="177" t="s">
        <v>26</v>
      </c>
      <c r="N198" s="177" t="s">
        <v>26</v>
      </c>
      <c r="P198" s="177" t="s">
        <v>26</v>
      </c>
      <c r="Q198" s="177" t="s">
        <v>26</v>
      </c>
      <c r="R198" s="177" t="s">
        <v>26</v>
      </c>
      <c r="S198" s="177" t="s">
        <v>26</v>
      </c>
      <c r="T198" s="177" t="s">
        <v>26</v>
      </c>
      <c r="U198" s="177" t="s">
        <v>26</v>
      </c>
      <c r="V198" s="177" t="s">
        <v>26</v>
      </c>
      <c r="W198" s="177" t="s">
        <v>26</v>
      </c>
      <c r="X198" s="177" t="s">
        <v>26</v>
      </c>
      <c r="Y198" s="177" t="s">
        <v>26</v>
      </c>
      <c r="Z198" s="177" t="s">
        <v>26</v>
      </c>
      <c r="AA198" s="177" t="s">
        <v>26</v>
      </c>
      <c r="AB198" s="79"/>
    </row>
    <row r="199" ht="17.25" spans="2:28">
      <c r="B199" s="172"/>
      <c r="C199" s="173"/>
      <c r="D199" s="173"/>
      <c r="E199" s="173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4"/>
    </row>
  </sheetData>
  <sheetProtection formatCells="0" formatColumns="0" formatRows="0" insertRows="0" insertColumns="0" insertHyperlinks="0" deleteColumns="0" deleteRows="0" sort="0" autoFilter="0" pivotTables="0"/>
  <mergeCells count="34">
    <mergeCell ref="C3:E3"/>
    <mergeCell ref="C5:D5"/>
    <mergeCell ref="F5:H5"/>
    <mergeCell ref="C40:E40"/>
    <mergeCell ref="C42:D42"/>
    <mergeCell ref="F42:H42"/>
    <mergeCell ref="C62:E62"/>
    <mergeCell ref="C64:D64"/>
    <mergeCell ref="F64:H64"/>
    <mergeCell ref="C104:E104"/>
    <mergeCell ref="C106:D106"/>
    <mergeCell ref="F106:H106"/>
    <mergeCell ref="K7:M11"/>
    <mergeCell ref="C7:E11"/>
    <mergeCell ref="O7:Q11"/>
    <mergeCell ref="G7:I11"/>
    <mergeCell ref="S7:U11"/>
    <mergeCell ref="K13:M17"/>
    <mergeCell ref="C13:E17"/>
    <mergeCell ref="O13:Q17"/>
    <mergeCell ref="G13:I17"/>
    <mergeCell ref="C44:E48"/>
    <mergeCell ref="O44:Q48"/>
    <mergeCell ref="G44:I48"/>
    <mergeCell ref="S44:U48"/>
    <mergeCell ref="K44:M48"/>
    <mergeCell ref="C66:G73"/>
    <mergeCell ref="I66:M73"/>
    <mergeCell ref="C108:G115"/>
    <mergeCell ref="I108:M115"/>
    <mergeCell ref="O108:S115"/>
    <mergeCell ref="C117:G124"/>
    <mergeCell ref="I117:M124"/>
    <mergeCell ref="O117:S1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9D9D9"/>
  </sheetPr>
  <dimension ref="A2:CJ120"/>
  <sheetViews>
    <sheetView showGridLines="0" tabSelected="1" zoomScale="70" zoomScaleNormal="70" workbookViewId="0">
      <selection activeCell="Z23" sqref="Z23"/>
    </sheetView>
  </sheetViews>
  <sheetFormatPr defaultColWidth="7.875" defaultRowHeight="16.5"/>
  <cols>
    <col min="1" max="1" width="7.875" style="59"/>
    <col min="2" max="4" width="5.375" style="59" customWidth="1"/>
    <col min="5" max="20" width="3.625" style="59" customWidth="1"/>
    <col min="21" max="21" width="5.94166666666667" style="59" customWidth="1"/>
    <col min="22" max="22" width="3.125" style="59" customWidth="1"/>
    <col min="23" max="23" width="8.28333333333333" style="59" customWidth="1"/>
    <col min="24" max="79" width="3.625" style="59" customWidth="1"/>
    <col min="80" max="80" width="7.875" style="59" customWidth="1"/>
    <col min="81" max="81" width="4.65833333333333" style="59" customWidth="1"/>
    <col min="82" max="16362" width="7.875" style="59" customWidth="1"/>
    <col min="16363" max="16384" width="7.875" style="59"/>
  </cols>
  <sheetData>
    <row r="2" ht="17.25" spans="1:88">
      <c r="B2" s="60" t="s">
        <v>173</v>
      </c>
    </row>
    <row r="3" ht="17.25" spans="1:88">
      <c r="B3" s="61" t="s">
        <v>0</v>
      </c>
      <c r="C3" s="62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4"/>
    </row>
    <row r="4" spans="1:88">
      <c r="A4" s="59" t="s">
        <v>174</v>
      </c>
      <c r="B4" s="65"/>
      <c r="C4" s="66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8"/>
      <c r="CF4" s="69"/>
      <c r="CG4" s="69"/>
      <c r="CH4" s="69"/>
      <c r="CI4" s="69"/>
      <c r="CJ4" s="70"/>
    </row>
    <row r="5" ht="17.25" spans="1:88">
      <c r="B5" s="71"/>
      <c r="C5" s="72"/>
      <c r="D5" s="67"/>
      <c r="E5" s="73" t="s">
        <v>175</v>
      </c>
      <c r="F5" s="74"/>
      <c r="G5" s="67"/>
      <c r="H5" s="75" t="s">
        <v>176</v>
      </c>
      <c r="I5" s="76"/>
      <c r="J5" s="67"/>
      <c r="K5" s="75" t="s">
        <v>177</v>
      </c>
      <c r="L5" s="76"/>
      <c r="M5" s="67"/>
      <c r="N5" s="77"/>
      <c r="O5" s="75" t="s">
        <v>178</v>
      </c>
      <c r="P5" s="78"/>
      <c r="Q5" s="78"/>
      <c r="R5" s="78"/>
      <c r="S5" s="76"/>
      <c r="T5" s="60"/>
      <c r="U5" s="68"/>
      <c r="CJ5" s="79"/>
    </row>
    <row r="6" spans="1:88">
      <c r="B6" s="80" t="s">
        <v>61</v>
      </c>
      <c r="C6" s="64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8"/>
      <c r="CJ6" s="79"/>
    </row>
    <row r="7" spans="1:88">
      <c r="A7" s="59" t="s">
        <v>179</v>
      </c>
      <c r="B7" s="81"/>
      <c r="C7" s="68"/>
      <c r="D7" s="67"/>
      <c r="E7" s="67"/>
      <c r="F7" s="67"/>
      <c r="G7" s="67"/>
      <c r="H7" s="67"/>
      <c r="I7" s="82" t="s">
        <v>180</v>
      </c>
      <c r="J7" s="82"/>
      <c r="K7" s="82"/>
      <c r="L7" s="82"/>
      <c r="M7" s="67"/>
      <c r="N7" s="67"/>
      <c r="O7" s="67"/>
      <c r="P7" s="67"/>
      <c r="Q7" s="67"/>
      <c r="R7" s="67"/>
      <c r="S7" s="67"/>
      <c r="T7" s="67"/>
      <c r="U7" s="68"/>
      <c r="CJ7" s="79"/>
    </row>
    <row r="8" ht="17.25" spans="1:88">
      <c r="B8" s="83"/>
      <c r="C8" s="84"/>
      <c r="D8" s="67"/>
      <c r="E8" s="67"/>
      <c r="F8" s="7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8"/>
      <c r="CJ8" s="79"/>
    </row>
    <row r="9" spans="1:88">
      <c r="B9" s="80" t="s">
        <v>81</v>
      </c>
      <c r="C9" s="64"/>
      <c r="D9" s="67"/>
      <c r="E9" s="85" t="s">
        <v>181</v>
      </c>
      <c r="F9" s="86"/>
      <c r="G9" s="86"/>
      <c r="H9" s="86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8"/>
      <c r="CJ9" s="79"/>
    </row>
    <row r="10" spans="1:88">
      <c r="A10" s="59" t="s">
        <v>182</v>
      </c>
      <c r="B10" s="81"/>
      <c r="C10" s="68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8"/>
      <c r="CJ10" s="79"/>
    </row>
    <row r="11" ht="21" spans="1:88">
      <c r="B11" s="83"/>
      <c r="C11" s="84"/>
      <c r="D11" s="67"/>
      <c r="E11" s="87" t="s">
        <v>14</v>
      </c>
      <c r="F11" s="87"/>
      <c r="G11" s="87"/>
      <c r="H11" s="87"/>
      <c r="I11" s="88"/>
      <c r="J11" s="88"/>
      <c r="K11" s="89"/>
      <c r="L11" s="67"/>
      <c r="M11" s="67"/>
      <c r="N11" s="67"/>
      <c r="O11" s="67"/>
      <c r="P11" s="67"/>
      <c r="Q11" s="67"/>
      <c r="R11" s="67"/>
      <c r="S11" s="67"/>
      <c r="T11" s="67"/>
      <c r="U11" s="68"/>
      <c r="W11" s="90" t="s">
        <v>183</v>
      </c>
      <c r="X11" s="91"/>
      <c r="CJ11" s="79"/>
    </row>
    <row r="12" ht="20.25" spans="1:88">
      <c r="B12" s="80" t="s">
        <v>119</v>
      </c>
      <c r="C12" s="64"/>
      <c r="D12" s="67"/>
      <c r="E12" s="89"/>
      <c r="F12" s="92"/>
      <c r="G12" s="88">
        <v>500</v>
      </c>
      <c r="H12" s="88"/>
      <c r="I12" s="89"/>
      <c r="J12" s="89"/>
      <c r="K12" s="92" t="s">
        <v>184</v>
      </c>
      <c r="L12" s="67"/>
      <c r="M12" s="67"/>
      <c r="N12" s="67"/>
      <c r="O12" s="67"/>
      <c r="P12" s="67"/>
      <c r="Q12" s="67"/>
      <c r="R12" s="67"/>
      <c r="S12" s="67"/>
      <c r="T12" s="67"/>
      <c r="U12" s="68"/>
      <c r="W12" s="91"/>
      <c r="X12" s="91"/>
      <c r="CJ12" s="79"/>
    </row>
    <row r="13" spans="1:88">
      <c r="A13" s="59" t="s">
        <v>185</v>
      </c>
      <c r="B13" s="81"/>
      <c r="C13" s="68"/>
      <c r="D13" s="67"/>
      <c r="E13" s="92" t="s">
        <v>186</v>
      </c>
      <c r="F13" s="92"/>
      <c r="G13" s="93"/>
      <c r="H13" s="93"/>
      <c r="I13" s="92" t="s">
        <v>187</v>
      </c>
      <c r="J13" s="92"/>
      <c r="K13" s="89"/>
      <c r="L13" s="67"/>
      <c r="M13" s="67"/>
      <c r="N13" s="67"/>
      <c r="O13" s="67"/>
      <c r="P13" s="67"/>
      <c r="Q13" s="67"/>
      <c r="R13" s="67"/>
      <c r="S13" s="67"/>
      <c r="T13" s="67"/>
      <c r="U13" s="68"/>
      <c r="W13" s="91"/>
      <c r="X13" s="91"/>
      <c r="CJ13" s="79"/>
    </row>
    <row r="14" ht="17.25" spans="1:88">
      <c r="B14" s="83"/>
      <c r="C14" s="84"/>
      <c r="D14" s="67"/>
      <c r="E14" s="94"/>
      <c r="F14" s="94"/>
      <c r="G14" s="94"/>
      <c r="H14" s="94"/>
      <c r="I14" s="94"/>
      <c r="J14" s="94"/>
      <c r="K14" s="95"/>
      <c r="L14" s="96"/>
      <c r="M14" s="96"/>
      <c r="N14" s="96"/>
      <c r="O14" s="96"/>
      <c r="P14" s="96"/>
      <c r="Q14" s="96"/>
      <c r="R14" s="96"/>
      <c r="S14" s="96"/>
      <c r="T14" s="96"/>
      <c r="U14" s="68"/>
      <c r="W14" s="91"/>
      <c r="X14" s="91"/>
      <c r="CJ14" s="79"/>
    </row>
    <row r="15" spans="1:88">
      <c r="B15" s="81"/>
      <c r="C15" s="68"/>
      <c r="D15" s="67"/>
      <c r="E15" s="97"/>
      <c r="F15" s="97"/>
      <c r="G15" s="98"/>
      <c r="H15" s="98"/>
      <c r="I15" s="97"/>
      <c r="J15" s="97"/>
      <c r="K15" s="99"/>
      <c r="L15" s="67"/>
      <c r="M15" s="67"/>
      <c r="N15" s="67"/>
      <c r="O15" s="67"/>
      <c r="P15" s="67"/>
      <c r="Q15" s="67"/>
      <c r="R15" s="67"/>
      <c r="S15" s="67"/>
      <c r="T15" s="67"/>
      <c r="U15" s="68"/>
      <c r="W15" s="100"/>
      <c r="X15" s="91"/>
      <c r="CJ15" s="79"/>
    </row>
    <row r="16" spans="1:88">
      <c r="B16" s="81"/>
      <c r="C16" s="68"/>
      <c r="D16" s="67"/>
      <c r="E16" s="101" t="s">
        <v>188</v>
      </c>
      <c r="F16" s="101"/>
      <c r="G16" s="101"/>
      <c r="H16" s="101"/>
      <c r="I16" s="101"/>
      <c r="J16" s="97"/>
      <c r="K16" s="99"/>
      <c r="L16" s="67"/>
      <c r="M16" s="67"/>
      <c r="N16" s="67"/>
      <c r="O16" s="67"/>
      <c r="P16" s="67"/>
      <c r="Q16" s="67"/>
      <c r="R16" s="67"/>
      <c r="S16" s="67"/>
      <c r="T16" s="67"/>
      <c r="U16" s="68"/>
      <c r="W16" s="100"/>
      <c r="X16" s="91"/>
      <c r="CJ16" s="79"/>
    </row>
    <row r="17" spans="2:88">
      <c r="B17" s="81"/>
      <c r="C17" s="68"/>
      <c r="D17" s="67"/>
      <c r="E17" s="102"/>
      <c r="F17" s="102"/>
      <c r="G17" s="102"/>
      <c r="H17" s="102"/>
      <c r="I17" s="102"/>
      <c r="J17" s="97"/>
      <c r="K17" s="99"/>
      <c r="L17" s="67"/>
      <c r="M17" s="67"/>
      <c r="N17" s="67"/>
      <c r="O17" s="67"/>
      <c r="P17" s="67"/>
      <c r="Q17" s="67"/>
      <c r="R17" s="67"/>
      <c r="S17" s="67"/>
      <c r="T17" s="67"/>
      <c r="U17" s="68"/>
      <c r="W17" s="100"/>
      <c r="X17" s="91"/>
      <c r="CJ17" s="79"/>
    </row>
    <row r="18" ht="20.25" spans="2:88">
      <c r="B18" s="81"/>
      <c r="C18" s="68"/>
      <c r="D18" s="67"/>
      <c r="E18" s="87" t="s">
        <v>189</v>
      </c>
      <c r="F18" s="87"/>
      <c r="G18" s="87"/>
      <c r="H18" s="87"/>
      <c r="I18" s="88"/>
      <c r="J18" s="88"/>
      <c r="K18" s="89"/>
      <c r="L18" s="67"/>
      <c r="M18" s="87" t="s">
        <v>190</v>
      </c>
      <c r="N18" s="87"/>
      <c r="O18" s="87"/>
      <c r="P18" s="87"/>
      <c r="Q18" s="88"/>
      <c r="R18" s="88"/>
      <c r="S18" s="89"/>
      <c r="T18" s="67"/>
      <c r="U18" s="68"/>
      <c r="W18" s="90" t="s">
        <v>191</v>
      </c>
      <c r="X18" s="91"/>
      <c r="CJ18" s="79"/>
    </row>
    <row r="19" ht="20.25" spans="2:88">
      <c r="B19" s="81"/>
      <c r="C19" s="68"/>
      <c r="D19" s="67"/>
      <c r="E19" s="89"/>
      <c r="F19" s="92"/>
      <c r="G19" s="88">
        <v>500</v>
      </c>
      <c r="H19" s="88"/>
      <c r="I19" s="89"/>
      <c r="J19" s="89"/>
      <c r="K19" s="92" t="s">
        <v>184</v>
      </c>
      <c r="L19" s="67"/>
      <c r="M19" s="89"/>
      <c r="N19" s="92"/>
      <c r="O19" s="88">
        <v>500</v>
      </c>
      <c r="P19" s="88"/>
      <c r="Q19" s="89"/>
      <c r="R19" s="89"/>
      <c r="S19" s="92" t="s">
        <v>184</v>
      </c>
      <c r="T19" s="67"/>
      <c r="U19" s="68"/>
      <c r="W19" s="100"/>
      <c r="X19" s="91"/>
      <c r="CJ19" s="79"/>
    </row>
    <row r="20" spans="2:88">
      <c r="B20" s="81"/>
      <c r="C20" s="68"/>
      <c r="D20" s="67"/>
      <c r="E20" s="92" t="s">
        <v>186</v>
      </c>
      <c r="F20" s="92"/>
      <c r="G20" s="92"/>
      <c r="H20" s="92"/>
      <c r="I20" s="92" t="s">
        <v>187</v>
      </c>
      <c r="J20" s="92"/>
      <c r="K20" s="89"/>
      <c r="L20" s="67"/>
      <c r="M20" s="92" t="s">
        <v>186</v>
      </c>
      <c r="N20" s="92"/>
      <c r="O20" s="92"/>
      <c r="P20" s="92"/>
      <c r="Q20" s="92" t="s">
        <v>187</v>
      </c>
      <c r="R20" s="92"/>
      <c r="S20" s="89"/>
      <c r="T20" s="67"/>
      <c r="U20" s="68"/>
      <c r="W20" s="100"/>
      <c r="X20" s="91"/>
      <c r="CJ20" s="79"/>
    </row>
    <row r="21" spans="2:88">
      <c r="B21" s="81"/>
      <c r="C21" s="68"/>
      <c r="D21" s="67"/>
      <c r="E21" s="102"/>
      <c r="F21" s="102"/>
      <c r="G21" s="102"/>
      <c r="H21" s="102"/>
      <c r="I21" s="102"/>
      <c r="J21" s="97"/>
      <c r="K21" s="99"/>
      <c r="L21" s="67"/>
      <c r="M21" s="67"/>
      <c r="N21" s="67"/>
      <c r="O21" s="67"/>
      <c r="P21" s="67"/>
      <c r="Q21" s="67"/>
      <c r="R21" s="67"/>
      <c r="S21" s="67"/>
      <c r="T21" s="67"/>
      <c r="U21" s="68"/>
      <c r="W21" s="100"/>
      <c r="X21" s="91"/>
      <c r="CJ21" s="79"/>
    </row>
    <row r="22" ht="20.25" spans="2:88">
      <c r="B22" s="81"/>
      <c r="C22" s="68"/>
      <c r="D22" s="67"/>
      <c r="E22" s="87" t="s">
        <v>192</v>
      </c>
      <c r="F22" s="87"/>
      <c r="G22" s="87"/>
      <c r="H22" s="87"/>
      <c r="I22" s="88"/>
      <c r="J22" s="88"/>
      <c r="K22" s="89"/>
      <c r="L22" s="67"/>
      <c r="M22" s="87" t="s">
        <v>193</v>
      </c>
      <c r="N22" s="87"/>
      <c r="O22" s="87"/>
      <c r="P22" s="87"/>
      <c r="Q22" s="88"/>
      <c r="R22" s="88"/>
      <c r="S22" s="89"/>
      <c r="T22" s="67"/>
      <c r="U22" s="68"/>
      <c r="W22" s="100"/>
      <c r="X22" s="91"/>
      <c r="CJ22" s="79"/>
    </row>
    <row r="23" ht="20.25" spans="2:88">
      <c r="B23" s="81"/>
      <c r="C23" s="68"/>
      <c r="D23" s="67"/>
      <c r="E23" s="89"/>
      <c r="F23" s="92"/>
      <c r="G23" s="88">
        <v>500</v>
      </c>
      <c r="H23" s="88"/>
      <c r="I23" s="89"/>
      <c r="J23" s="89"/>
      <c r="K23" s="92" t="s">
        <v>184</v>
      </c>
      <c r="L23" s="67"/>
      <c r="M23" s="89"/>
      <c r="N23" s="92"/>
      <c r="O23" s="88">
        <v>500</v>
      </c>
      <c r="P23" s="88"/>
      <c r="Q23" s="89"/>
      <c r="R23" s="89"/>
      <c r="S23" s="92" t="s">
        <v>184</v>
      </c>
      <c r="T23" s="67"/>
      <c r="U23" s="68"/>
      <c r="W23" s="100"/>
      <c r="X23" s="91"/>
      <c r="CJ23" s="79"/>
    </row>
    <row r="24" spans="2:88">
      <c r="B24" s="81"/>
      <c r="C24" s="68"/>
      <c r="D24" s="67"/>
      <c r="E24" s="92" t="s">
        <v>186</v>
      </c>
      <c r="F24" s="92"/>
      <c r="G24" s="92"/>
      <c r="H24" s="92"/>
      <c r="I24" s="92" t="s">
        <v>187</v>
      </c>
      <c r="J24" s="92"/>
      <c r="K24" s="89"/>
      <c r="L24" s="67"/>
      <c r="M24" s="92" t="s">
        <v>186</v>
      </c>
      <c r="N24" s="92"/>
      <c r="O24" s="92"/>
      <c r="P24" s="92"/>
      <c r="Q24" s="92" t="s">
        <v>187</v>
      </c>
      <c r="R24" s="92"/>
      <c r="S24" s="89"/>
      <c r="T24" s="67"/>
      <c r="U24" s="68"/>
      <c r="W24" s="100"/>
      <c r="X24" s="91"/>
      <c r="CJ24" s="79"/>
    </row>
    <row r="25" spans="2:88">
      <c r="B25" s="81"/>
      <c r="C25" s="68"/>
      <c r="D25" s="67"/>
      <c r="E25" s="94"/>
      <c r="F25" s="94"/>
      <c r="G25" s="94"/>
      <c r="H25" s="94"/>
      <c r="I25" s="94"/>
      <c r="J25" s="94"/>
      <c r="K25" s="95"/>
      <c r="L25" s="96"/>
      <c r="M25" s="96"/>
      <c r="N25" s="96"/>
      <c r="O25" s="96"/>
      <c r="P25" s="96"/>
      <c r="Q25" s="96"/>
      <c r="R25" s="96"/>
      <c r="S25" s="96"/>
      <c r="T25" s="96"/>
      <c r="U25" s="68"/>
      <c r="W25" s="100"/>
      <c r="X25" s="91"/>
      <c r="CJ25" s="79"/>
    </row>
    <row r="26" spans="2:88">
      <c r="B26" s="81"/>
      <c r="C26" s="68"/>
      <c r="D26" s="67"/>
      <c r="E26" s="97"/>
      <c r="F26" s="97"/>
      <c r="G26" s="98"/>
      <c r="H26" s="98"/>
      <c r="I26" s="97"/>
      <c r="J26" s="97"/>
      <c r="K26" s="99"/>
      <c r="L26" s="67"/>
      <c r="M26" s="67"/>
      <c r="N26" s="67"/>
      <c r="O26" s="67"/>
      <c r="P26" s="67"/>
      <c r="Q26" s="67"/>
      <c r="R26" s="67"/>
      <c r="S26" s="67"/>
      <c r="T26" s="67"/>
      <c r="U26" s="68"/>
      <c r="W26" s="100"/>
      <c r="X26" s="91"/>
      <c r="CJ26" s="79"/>
    </row>
    <row r="27" spans="2:88">
      <c r="B27" s="81"/>
      <c r="C27" s="68"/>
      <c r="D27" s="67"/>
      <c r="E27" s="101" t="s">
        <v>194</v>
      </c>
      <c r="F27" s="101"/>
      <c r="G27" s="101"/>
      <c r="H27" s="101"/>
      <c r="I27" s="101"/>
      <c r="J27" s="101"/>
      <c r="K27" s="101"/>
      <c r="L27" s="67"/>
      <c r="M27" s="67"/>
      <c r="N27" s="67"/>
      <c r="O27" s="67"/>
      <c r="P27" s="67"/>
      <c r="Q27" s="67"/>
      <c r="R27" s="67"/>
      <c r="S27" s="67"/>
      <c r="T27" s="67"/>
      <c r="U27" s="68"/>
      <c r="W27" s="100"/>
      <c r="X27" s="91"/>
      <c r="CJ27" s="79"/>
    </row>
    <row r="28" spans="2:88">
      <c r="B28" s="81"/>
      <c r="C28" s="68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8"/>
      <c r="W28" s="100"/>
      <c r="X28" s="91"/>
      <c r="CJ28" s="79"/>
    </row>
    <row r="29" ht="20.25" spans="2:88">
      <c r="B29" s="81"/>
      <c r="C29" s="68"/>
      <c r="D29" s="67"/>
      <c r="E29" s="87" t="s">
        <v>195</v>
      </c>
      <c r="F29" s="87"/>
      <c r="G29" s="87"/>
      <c r="H29" s="87"/>
      <c r="I29" s="88"/>
      <c r="J29" s="88"/>
      <c r="K29" s="89"/>
      <c r="L29" s="67"/>
      <c r="M29" s="103" t="s">
        <v>196</v>
      </c>
      <c r="N29" s="103"/>
      <c r="O29" s="103"/>
      <c r="P29" s="103"/>
      <c r="Q29" s="87"/>
      <c r="R29" s="88"/>
      <c r="S29" s="88"/>
      <c r="T29" s="88"/>
      <c r="U29" s="68"/>
      <c r="W29" s="91"/>
      <c r="X29" s="91"/>
      <c r="CJ29" s="79"/>
    </row>
    <row r="30" ht="20.25" spans="2:88">
      <c r="B30" s="81"/>
      <c r="C30" s="68"/>
      <c r="D30" s="67"/>
      <c r="E30" s="89"/>
      <c r="F30" s="92"/>
      <c r="G30" s="88">
        <v>500</v>
      </c>
      <c r="H30" s="88"/>
      <c r="I30" s="89"/>
      <c r="J30" s="89"/>
      <c r="K30" s="92" t="s">
        <v>184</v>
      </c>
      <c r="L30" s="67"/>
      <c r="M30" s="89"/>
      <c r="N30" s="89"/>
      <c r="O30" s="92"/>
      <c r="P30" s="88">
        <v>500</v>
      </c>
      <c r="Q30" s="88"/>
      <c r="R30" s="89"/>
      <c r="S30" s="89"/>
      <c r="T30" s="92" t="s">
        <v>184</v>
      </c>
      <c r="U30" s="68"/>
      <c r="W30" s="91"/>
      <c r="X30" s="91"/>
      <c r="CJ30" s="79"/>
    </row>
    <row r="31" spans="2:88">
      <c r="B31" s="81"/>
      <c r="C31" s="68"/>
      <c r="D31" s="67"/>
      <c r="E31" s="92" t="s">
        <v>186</v>
      </c>
      <c r="F31" s="92"/>
      <c r="G31" s="92"/>
      <c r="H31" s="92"/>
      <c r="I31" s="92" t="s">
        <v>187</v>
      </c>
      <c r="J31" s="92"/>
      <c r="K31" s="89"/>
      <c r="L31" s="67"/>
      <c r="M31" s="89"/>
      <c r="N31" s="92" t="s">
        <v>186</v>
      </c>
      <c r="O31" s="92"/>
      <c r="P31" s="92"/>
      <c r="Q31" s="92"/>
      <c r="R31" s="92" t="s">
        <v>187</v>
      </c>
      <c r="S31" s="92"/>
      <c r="T31" s="89"/>
      <c r="U31" s="68"/>
      <c r="W31" s="90" t="s">
        <v>197</v>
      </c>
      <c r="X31" s="91"/>
      <c r="CJ31" s="79"/>
    </row>
    <row r="32" spans="2:88">
      <c r="B32" s="81"/>
      <c r="C32" s="68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8"/>
      <c r="W32" s="91"/>
      <c r="X32" s="91"/>
      <c r="CJ32" s="79"/>
    </row>
    <row r="33" ht="20.25" spans="2:88">
      <c r="B33" s="81"/>
      <c r="C33" s="68"/>
      <c r="D33" s="67"/>
      <c r="E33" s="87" t="s">
        <v>198</v>
      </c>
      <c r="F33" s="87"/>
      <c r="G33" s="87"/>
      <c r="H33" s="87"/>
      <c r="I33" s="88"/>
      <c r="J33" s="88"/>
      <c r="K33" s="89"/>
      <c r="L33" s="67"/>
      <c r="M33" s="103" t="s">
        <v>199</v>
      </c>
      <c r="N33" s="103"/>
      <c r="O33" s="103"/>
      <c r="P33" s="103"/>
      <c r="Q33" s="87"/>
      <c r="R33" s="88"/>
      <c r="S33" s="88"/>
      <c r="T33" s="88"/>
      <c r="U33" s="68"/>
      <c r="W33" s="91"/>
      <c r="X33" s="91"/>
      <c r="CJ33" s="79"/>
    </row>
    <row r="34" ht="28.15" customHeight="1" spans="2:88">
      <c r="B34" s="81"/>
      <c r="C34" s="68"/>
      <c r="D34" s="67"/>
      <c r="E34" s="89"/>
      <c r="F34" s="92"/>
      <c r="G34" s="88">
        <v>500</v>
      </c>
      <c r="H34" s="88"/>
      <c r="I34" s="89"/>
      <c r="J34" s="89"/>
      <c r="K34" s="92" t="s">
        <v>184</v>
      </c>
      <c r="L34" s="67"/>
      <c r="M34" s="89"/>
      <c r="N34" s="89"/>
      <c r="O34" s="92"/>
      <c r="P34" s="88">
        <v>500</v>
      </c>
      <c r="Q34" s="88"/>
      <c r="R34" s="89"/>
      <c r="S34" s="89"/>
      <c r="T34" s="92" t="s">
        <v>184</v>
      </c>
      <c r="U34" s="68"/>
      <c r="W34" s="91"/>
      <c r="X34" s="91"/>
      <c r="CJ34" s="79"/>
    </row>
    <row r="35" spans="2:88">
      <c r="B35" s="81"/>
      <c r="C35" s="68"/>
      <c r="D35" s="67"/>
      <c r="E35" s="92" t="s">
        <v>186</v>
      </c>
      <c r="F35" s="92"/>
      <c r="G35" s="92"/>
      <c r="H35" s="92"/>
      <c r="I35" s="92" t="s">
        <v>187</v>
      </c>
      <c r="J35" s="92"/>
      <c r="K35" s="89"/>
      <c r="L35" s="67"/>
      <c r="M35" s="89"/>
      <c r="N35" s="92" t="s">
        <v>186</v>
      </c>
      <c r="O35" s="92"/>
      <c r="P35" s="92"/>
      <c r="Q35" s="92"/>
      <c r="R35" s="92" t="s">
        <v>187</v>
      </c>
      <c r="S35" s="92"/>
      <c r="T35" s="89"/>
      <c r="U35" s="68"/>
      <c r="W35" s="91"/>
      <c r="X35" s="91"/>
      <c r="CJ35" s="79"/>
    </row>
    <row r="36" spans="2:88">
      <c r="B36" s="81"/>
      <c r="C36" s="68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8"/>
      <c r="W36" s="91"/>
      <c r="X36" s="91"/>
      <c r="CJ36" s="79"/>
    </row>
    <row r="37" ht="20.25" spans="2:88">
      <c r="B37" s="81"/>
      <c r="C37" s="68"/>
      <c r="D37" s="67"/>
      <c r="E37" s="87" t="s">
        <v>200</v>
      </c>
      <c r="F37" s="87"/>
      <c r="G37" s="87"/>
      <c r="H37" s="87"/>
      <c r="I37" s="88"/>
      <c r="J37" s="88"/>
      <c r="K37" s="89"/>
      <c r="L37" s="67"/>
      <c r="M37" s="87"/>
      <c r="N37" s="87"/>
      <c r="O37" s="87"/>
      <c r="P37" s="87"/>
      <c r="Q37" s="88"/>
      <c r="R37" s="88"/>
      <c r="S37" s="89"/>
      <c r="T37" s="89"/>
      <c r="U37" s="68"/>
      <c r="W37" s="91"/>
      <c r="X37" s="91"/>
      <c r="CJ37" s="79"/>
    </row>
    <row r="38" ht="32.8" customHeight="1" spans="2:88">
      <c r="B38" s="81"/>
      <c r="C38" s="68"/>
      <c r="D38" s="67"/>
      <c r="E38" s="89"/>
      <c r="F38" s="92"/>
      <c r="G38" s="88">
        <v>500</v>
      </c>
      <c r="H38" s="88"/>
      <c r="I38" s="89"/>
      <c r="J38" s="89"/>
      <c r="K38" s="92" t="s">
        <v>184</v>
      </c>
      <c r="L38" s="67"/>
      <c r="M38" s="54" t="s">
        <v>201</v>
      </c>
      <c r="N38" s="54"/>
      <c r="O38" s="54"/>
      <c r="P38" s="54"/>
      <c r="Q38" s="54"/>
      <c r="R38" s="89"/>
      <c r="S38" s="92"/>
      <c r="T38" s="92" t="s">
        <v>184</v>
      </c>
      <c r="U38" s="68"/>
      <c r="W38" s="91"/>
      <c r="X38" s="91"/>
      <c r="CJ38" s="79"/>
    </row>
    <row r="39" ht="19.7" customHeight="1" spans="2:88">
      <c r="B39" s="81"/>
      <c r="C39" s="68"/>
      <c r="D39" s="67"/>
      <c r="E39" s="92" t="s">
        <v>186</v>
      </c>
      <c r="F39" s="92"/>
      <c r="G39" s="92"/>
      <c r="H39" s="92"/>
      <c r="I39" s="92" t="s">
        <v>187</v>
      </c>
      <c r="J39" s="92"/>
      <c r="K39" s="89"/>
      <c r="L39" s="67"/>
      <c r="M39" s="92"/>
      <c r="N39" s="92"/>
      <c r="O39" s="92"/>
      <c r="P39" s="92"/>
      <c r="Q39" s="92"/>
      <c r="R39" s="92"/>
      <c r="S39" s="89"/>
      <c r="T39" s="89"/>
      <c r="U39" s="68"/>
      <c r="W39" s="91"/>
      <c r="X39" s="91"/>
      <c r="CJ39" s="79"/>
    </row>
    <row r="40" spans="2:88">
      <c r="B40" s="81"/>
      <c r="C40" s="68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8"/>
      <c r="W40" s="91"/>
      <c r="X40" s="91"/>
      <c r="CJ40" s="79"/>
    </row>
    <row r="41" spans="2:88">
      <c r="B41" s="81"/>
      <c r="C41" s="68"/>
      <c r="D41" s="67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67"/>
      <c r="U41" s="68"/>
      <c r="W41" s="91"/>
      <c r="X41" s="91"/>
      <c r="CJ41" s="79"/>
    </row>
    <row r="42" spans="2:88">
      <c r="B42" s="81"/>
      <c r="C42" s="68"/>
      <c r="D42" s="67"/>
      <c r="E42" s="85" t="s">
        <v>202</v>
      </c>
      <c r="F42" s="85"/>
      <c r="G42" s="85"/>
      <c r="H42" s="85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8"/>
      <c r="W42" s="91"/>
      <c r="X42" s="91"/>
      <c r="CJ42" s="79"/>
    </row>
    <row r="43" spans="2:88">
      <c r="B43" s="81"/>
      <c r="C43" s="68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8"/>
      <c r="W43" s="91"/>
      <c r="X43" s="91"/>
      <c r="CJ43" s="79"/>
    </row>
    <row r="44" ht="20.25" spans="2:88">
      <c r="B44" s="81"/>
      <c r="C44" s="68"/>
      <c r="D44" s="67"/>
      <c r="E44" s="87" t="s">
        <v>203</v>
      </c>
      <c r="F44" s="87"/>
      <c r="G44" s="87"/>
      <c r="H44" s="87"/>
      <c r="I44" s="88"/>
      <c r="J44" s="88"/>
      <c r="K44" s="89"/>
      <c r="L44" s="67"/>
      <c r="M44" s="89"/>
      <c r="N44" s="87" t="s">
        <v>36</v>
      </c>
      <c r="O44" s="87"/>
      <c r="P44" s="87"/>
      <c r="Q44" s="87"/>
      <c r="R44" s="88"/>
      <c r="S44" s="88"/>
      <c r="T44" s="88"/>
      <c r="U44" s="68"/>
      <c r="W44" s="91"/>
      <c r="X44" s="91"/>
      <c r="CJ44" s="79"/>
    </row>
    <row r="45" ht="20.25" spans="2:88">
      <c r="B45" s="81"/>
      <c r="C45" s="68"/>
      <c r="D45" s="67"/>
      <c r="E45" s="89"/>
      <c r="F45" s="92"/>
      <c r="G45" s="88">
        <v>500</v>
      </c>
      <c r="H45" s="88"/>
      <c r="I45" s="89"/>
      <c r="J45" s="89"/>
      <c r="K45" s="92" t="s">
        <v>184</v>
      </c>
      <c r="L45" s="67"/>
      <c r="M45" s="89"/>
      <c r="N45" s="92"/>
      <c r="O45" s="92"/>
      <c r="P45" s="88">
        <v>500</v>
      </c>
      <c r="Q45" s="88"/>
      <c r="R45" s="89"/>
      <c r="S45" s="89"/>
      <c r="T45" s="92" t="s">
        <v>184</v>
      </c>
      <c r="U45" s="68"/>
      <c r="W45" s="90" t="s">
        <v>204</v>
      </c>
      <c r="X45" s="91"/>
      <c r="CJ45" s="79"/>
    </row>
    <row r="46" spans="2:88">
      <c r="B46" s="81"/>
      <c r="C46" s="68"/>
      <c r="D46" s="67"/>
      <c r="E46" s="92" t="s">
        <v>186</v>
      </c>
      <c r="F46" s="92"/>
      <c r="G46" s="92"/>
      <c r="H46" s="92"/>
      <c r="I46" s="92" t="s">
        <v>187</v>
      </c>
      <c r="J46" s="92"/>
      <c r="K46" s="89"/>
      <c r="L46" s="67"/>
      <c r="M46" s="92" t="s">
        <v>205</v>
      </c>
      <c r="N46" s="92"/>
      <c r="O46" s="92"/>
      <c r="P46" s="92"/>
      <c r="Q46" s="89"/>
      <c r="R46" s="89"/>
      <c r="S46" s="105" t="s">
        <v>206</v>
      </c>
      <c r="T46" s="89"/>
      <c r="U46" s="68"/>
      <c r="CJ46" s="79"/>
    </row>
    <row r="47" spans="2:88">
      <c r="B47" s="81"/>
      <c r="C47" s="68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8"/>
      <c r="CJ47" s="79"/>
    </row>
    <row r="48" ht="20.25" spans="2:88">
      <c r="B48" s="81"/>
      <c r="C48" s="68"/>
      <c r="D48" s="67"/>
      <c r="E48" s="87" t="s">
        <v>207</v>
      </c>
      <c r="F48" s="87"/>
      <c r="G48" s="87"/>
      <c r="H48" s="87"/>
      <c r="I48" s="88">
        <v>500</v>
      </c>
      <c r="J48" s="88"/>
      <c r="K48" s="89"/>
      <c r="L48" s="67"/>
      <c r="M48" s="87"/>
      <c r="N48" s="87"/>
      <c r="O48" s="87"/>
      <c r="P48" s="87"/>
      <c r="Q48" s="88"/>
      <c r="R48" s="88"/>
      <c r="S48" s="89"/>
      <c r="T48" s="89"/>
      <c r="U48" s="68"/>
      <c r="CJ48" s="79"/>
    </row>
    <row r="49" spans="2:88">
      <c r="B49" s="81"/>
      <c r="C49" s="68"/>
      <c r="D49" s="67"/>
      <c r="E49" s="89"/>
      <c r="F49" s="92" t="s">
        <v>208</v>
      </c>
      <c r="G49" s="92"/>
      <c r="H49" s="92"/>
      <c r="I49" s="89"/>
      <c r="J49" s="89"/>
      <c r="K49" s="92" t="s">
        <v>184</v>
      </c>
      <c r="L49" s="67"/>
      <c r="M49" s="105"/>
      <c r="N49" s="105"/>
      <c r="O49" s="105"/>
      <c r="P49" s="105"/>
      <c r="Q49" s="89"/>
      <c r="R49" s="89"/>
      <c r="S49" s="89"/>
      <c r="T49" s="92" t="s">
        <v>184</v>
      </c>
      <c r="U49" s="68"/>
      <c r="CJ49" s="79"/>
    </row>
    <row r="50" spans="2:88">
      <c r="B50" s="81"/>
      <c r="C50" s="68"/>
      <c r="D50" s="67"/>
      <c r="E50" s="89"/>
      <c r="F50" s="92"/>
      <c r="G50" s="92"/>
      <c r="H50" s="92"/>
      <c r="I50" s="89"/>
      <c r="J50" s="89"/>
      <c r="K50" s="89"/>
      <c r="L50" s="67"/>
      <c r="M50" s="89"/>
      <c r="N50" s="92"/>
      <c r="O50" s="92"/>
      <c r="P50" s="92"/>
      <c r="Q50" s="89"/>
      <c r="R50" s="89"/>
      <c r="S50" s="89"/>
      <c r="T50" s="89"/>
      <c r="U50" s="68"/>
    </row>
    <row r="51" ht="17.25" spans="2:88">
      <c r="B51" s="83"/>
      <c r="C51" s="84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84"/>
    </row>
    <row r="52" spans="2:88">
      <c r="V52" s="60"/>
    </row>
    <row r="55" spans="2:88">
      <c r="BT55" s="91"/>
    </row>
    <row r="56" spans="2:88">
      <c r="D56" s="90" t="s">
        <v>183</v>
      </c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W56" s="90" t="s">
        <v>191</v>
      </c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R56" s="90" t="s">
        <v>197</v>
      </c>
      <c r="AS56" s="90"/>
      <c r="AT56" s="90"/>
      <c r="AU56" s="90"/>
      <c r="AV56" s="90"/>
      <c r="AW56" s="90"/>
      <c r="AX56" s="90"/>
      <c r="AY56" s="90"/>
      <c r="AZ56" s="90"/>
      <c r="BA56" s="90"/>
      <c r="BB56" s="90"/>
      <c r="BC56" s="90"/>
      <c r="BD56" s="90"/>
      <c r="BE56" s="90"/>
      <c r="BF56" s="90"/>
      <c r="BG56" s="90"/>
      <c r="BH56" s="90"/>
      <c r="BI56" s="90"/>
      <c r="BL56" s="90" t="s">
        <v>204</v>
      </c>
      <c r="BM56" s="90"/>
      <c r="BN56" s="90"/>
      <c r="BO56" s="90"/>
      <c r="BP56" s="90"/>
      <c r="BQ56" s="90"/>
      <c r="BR56" s="90"/>
      <c r="BS56" s="90"/>
      <c r="BT56" s="90"/>
      <c r="BU56" s="90"/>
      <c r="BV56" s="90"/>
      <c r="BW56" s="90"/>
      <c r="BX56" s="90"/>
      <c r="BY56" s="90"/>
      <c r="BZ56" s="90"/>
      <c r="CA56" s="90"/>
      <c r="CB56" s="90"/>
      <c r="CC56" s="90"/>
    </row>
    <row r="57" spans="2:88">
      <c r="D57" s="80" t="s">
        <v>209</v>
      </c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4"/>
      <c r="W57" s="80" t="s">
        <v>188</v>
      </c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4"/>
      <c r="AR57" s="80" t="s">
        <v>194</v>
      </c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4"/>
      <c r="BL57" s="80" t="s">
        <v>202</v>
      </c>
      <c r="BM57" s="63"/>
      <c r="BN57" s="63"/>
      <c r="BO57" s="63"/>
      <c r="BP57" s="63"/>
      <c r="BQ57" s="63"/>
      <c r="BR57" s="63"/>
      <c r="BS57" s="63"/>
      <c r="BT57" s="63"/>
      <c r="BU57" s="63"/>
      <c r="BV57" s="63"/>
      <c r="BW57" s="63"/>
      <c r="BX57" s="63"/>
      <c r="BY57" s="63"/>
      <c r="BZ57" s="63"/>
      <c r="CA57" s="63"/>
      <c r="CB57" s="63"/>
      <c r="CC57" s="64"/>
    </row>
    <row r="58" spans="2:88">
      <c r="D58" s="81"/>
      <c r="U58" s="68"/>
      <c r="W58" s="81"/>
      <c r="AN58" s="68"/>
      <c r="AR58" s="81"/>
      <c r="BI58" s="68"/>
      <c r="BL58" s="81"/>
      <c r="CC58" s="68"/>
    </row>
    <row r="59" spans="2:88">
      <c r="D59" s="81"/>
      <c r="E59" s="73" t="s">
        <v>175</v>
      </c>
      <c r="F59" s="74"/>
      <c r="G59" s="67"/>
      <c r="H59" s="75" t="s">
        <v>176</v>
      </c>
      <c r="I59" s="76"/>
      <c r="J59" s="67"/>
      <c r="K59" s="75" t="s">
        <v>177</v>
      </c>
      <c r="L59" s="76"/>
      <c r="M59" s="67"/>
      <c r="N59" s="77"/>
      <c r="O59" s="75" t="s">
        <v>178</v>
      </c>
      <c r="P59" s="78"/>
      <c r="Q59" s="78"/>
      <c r="R59" s="78"/>
      <c r="S59" s="76"/>
      <c r="T59" s="60"/>
      <c r="U59" s="68"/>
      <c r="W59" s="81"/>
      <c r="X59" s="73" t="s">
        <v>175</v>
      </c>
      <c r="Y59" s="74"/>
      <c r="Z59" s="67"/>
      <c r="AA59" s="75" t="s">
        <v>176</v>
      </c>
      <c r="AB59" s="76"/>
      <c r="AC59" s="67"/>
      <c r="AD59" s="75" t="s">
        <v>177</v>
      </c>
      <c r="AE59" s="76"/>
      <c r="AF59" s="67"/>
      <c r="AG59" s="77"/>
      <c r="AH59" s="75" t="s">
        <v>178</v>
      </c>
      <c r="AI59" s="78"/>
      <c r="AJ59" s="78"/>
      <c r="AK59" s="78"/>
      <c r="AL59" s="76"/>
      <c r="AM59" s="60"/>
      <c r="AN59" s="68"/>
      <c r="AR59" s="81"/>
      <c r="AS59" s="73" t="s">
        <v>175</v>
      </c>
      <c r="AT59" s="74"/>
      <c r="AU59" s="67"/>
      <c r="AV59" s="75" t="s">
        <v>176</v>
      </c>
      <c r="AW59" s="76"/>
      <c r="AX59" s="67"/>
      <c r="AY59" s="75" t="s">
        <v>177</v>
      </c>
      <c r="AZ59" s="76"/>
      <c r="BA59" s="67"/>
      <c r="BB59" s="77"/>
      <c r="BC59" s="75" t="s">
        <v>178</v>
      </c>
      <c r="BD59" s="78"/>
      <c r="BE59" s="78"/>
      <c r="BF59" s="78"/>
      <c r="BG59" s="76"/>
      <c r="BH59" s="60"/>
      <c r="BI59" s="68"/>
      <c r="BL59" s="81"/>
      <c r="BM59" s="73" t="s">
        <v>175</v>
      </c>
      <c r="BN59" s="74"/>
      <c r="BO59" s="67"/>
      <c r="BP59" s="75" t="s">
        <v>176</v>
      </c>
      <c r="BQ59" s="76"/>
      <c r="BR59" s="67"/>
      <c r="BS59" s="75" t="s">
        <v>177</v>
      </c>
      <c r="BT59" s="76"/>
      <c r="BU59" s="67"/>
      <c r="BV59" s="77"/>
      <c r="BW59" s="75" t="s">
        <v>178</v>
      </c>
      <c r="BX59" s="78"/>
      <c r="BY59" s="78"/>
      <c r="BZ59" s="78"/>
      <c r="CA59" s="76"/>
      <c r="CB59" s="60"/>
      <c r="CC59" s="68"/>
    </row>
    <row r="60" spans="2:88">
      <c r="D60" s="81"/>
      <c r="E60" s="107" t="s">
        <v>180</v>
      </c>
      <c r="F60" s="107"/>
      <c r="G60" s="107"/>
      <c r="H60" s="107"/>
      <c r="I60" s="77"/>
      <c r="J60" s="67"/>
      <c r="K60" s="77"/>
      <c r="L60" s="77"/>
      <c r="M60" s="67"/>
      <c r="N60" s="77"/>
      <c r="O60" s="77"/>
      <c r="P60" s="77"/>
      <c r="Q60" s="77"/>
      <c r="R60" s="77"/>
      <c r="S60" s="77"/>
      <c r="T60" s="60"/>
      <c r="U60" s="68"/>
      <c r="W60" s="81"/>
      <c r="X60" s="107" t="s">
        <v>180</v>
      </c>
      <c r="Y60" s="107"/>
      <c r="Z60" s="107"/>
      <c r="AA60" s="107"/>
      <c r="AB60" s="77"/>
      <c r="AC60" s="67"/>
      <c r="AD60" s="77"/>
      <c r="AE60" s="77"/>
      <c r="AF60" s="67"/>
      <c r="AG60" s="77"/>
      <c r="AH60" s="77"/>
      <c r="AI60" s="77"/>
      <c r="AJ60" s="77"/>
      <c r="AK60" s="77"/>
      <c r="AL60" s="77"/>
      <c r="AM60" s="60"/>
      <c r="AN60" s="68"/>
      <c r="AR60" s="81"/>
      <c r="AS60" s="107" t="s">
        <v>180</v>
      </c>
      <c r="AT60" s="107"/>
      <c r="AU60" s="107"/>
      <c r="AV60" s="107"/>
      <c r="AW60" s="77"/>
      <c r="AX60" s="67"/>
      <c r="AY60" s="77"/>
      <c r="AZ60" s="77"/>
      <c r="BA60" s="67"/>
      <c r="BB60" s="77"/>
      <c r="BC60" s="77"/>
      <c r="BD60" s="77"/>
      <c r="BE60" s="77"/>
      <c r="BF60" s="77"/>
      <c r="BG60" s="77"/>
      <c r="BH60" s="60"/>
      <c r="BI60" s="68"/>
      <c r="BL60" s="81"/>
      <c r="BM60" s="107" t="s">
        <v>180</v>
      </c>
      <c r="BN60" s="107"/>
      <c r="BO60" s="107"/>
      <c r="BP60" s="107"/>
      <c r="BQ60" s="77"/>
      <c r="BR60" s="67"/>
      <c r="BS60" s="77"/>
      <c r="BT60" s="77"/>
      <c r="BU60" s="67"/>
      <c r="BV60" s="77"/>
      <c r="BW60" s="77"/>
      <c r="BX60" s="77"/>
      <c r="BY60" s="77"/>
      <c r="BZ60" s="77"/>
      <c r="CA60" s="77"/>
      <c r="CB60" s="60"/>
      <c r="CC60" s="68"/>
    </row>
    <row r="61" spans="2:88">
      <c r="D61" s="108" t="s">
        <v>210</v>
      </c>
      <c r="E61" s="54"/>
      <c r="F61" s="54"/>
      <c r="G61" s="54"/>
      <c r="H61" s="109"/>
      <c r="I61" s="108" t="s">
        <v>211</v>
      </c>
      <c r="J61" s="54"/>
      <c r="K61" s="54"/>
      <c r="L61" s="54"/>
      <c r="M61" s="102"/>
      <c r="N61" s="108" t="s">
        <v>212</v>
      </c>
      <c r="O61" s="54"/>
      <c r="P61" s="54"/>
      <c r="Q61" s="54"/>
      <c r="R61" s="102"/>
      <c r="S61" s="54" t="s">
        <v>213</v>
      </c>
      <c r="T61" s="54"/>
      <c r="U61" s="110"/>
      <c r="W61" s="108" t="s">
        <v>210</v>
      </c>
      <c r="X61" s="54"/>
      <c r="Y61" s="54"/>
      <c r="Z61" s="54"/>
      <c r="AA61" s="109"/>
      <c r="AB61" s="108" t="s">
        <v>211</v>
      </c>
      <c r="AC61" s="54"/>
      <c r="AD61" s="54"/>
      <c r="AE61" s="54"/>
      <c r="AF61" s="102"/>
      <c r="AG61" s="108" t="s">
        <v>212</v>
      </c>
      <c r="AH61" s="54"/>
      <c r="AI61" s="54"/>
      <c r="AJ61" s="54"/>
      <c r="AK61" s="102"/>
      <c r="AL61" s="54" t="s">
        <v>213</v>
      </c>
      <c r="AM61" s="54"/>
      <c r="AN61" s="110"/>
      <c r="AR61" s="108" t="s">
        <v>210</v>
      </c>
      <c r="AS61" s="54"/>
      <c r="AT61" s="54"/>
      <c r="AU61" s="54"/>
      <c r="AV61" s="109"/>
      <c r="AW61" s="108" t="s">
        <v>211</v>
      </c>
      <c r="AX61" s="54"/>
      <c r="AY61" s="54"/>
      <c r="AZ61" s="54"/>
      <c r="BA61" s="102"/>
      <c r="BB61" s="108" t="s">
        <v>212</v>
      </c>
      <c r="BC61" s="54"/>
      <c r="BD61" s="54"/>
      <c r="BE61" s="54"/>
      <c r="BF61" s="102"/>
      <c r="BG61" s="54" t="s">
        <v>213</v>
      </c>
      <c r="BH61" s="54"/>
      <c r="BI61" s="110"/>
      <c r="BL61" s="108" t="s">
        <v>210</v>
      </c>
      <c r="BM61" s="54"/>
      <c r="BN61" s="54"/>
      <c r="BO61" s="54"/>
      <c r="BP61" s="109"/>
      <c r="BQ61" s="108" t="s">
        <v>211</v>
      </c>
      <c r="BR61" s="54"/>
      <c r="BS61" s="54"/>
      <c r="BT61" s="54"/>
      <c r="BU61" s="102"/>
      <c r="BV61" s="108" t="s">
        <v>212</v>
      </c>
      <c r="BW61" s="54"/>
      <c r="BX61" s="54"/>
      <c r="BY61" s="54"/>
      <c r="BZ61" s="102"/>
      <c r="CA61" s="54" t="s">
        <v>213</v>
      </c>
      <c r="CB61" s="54"/>
      <c r="CC61" s="110"/>
    </row>
    <row r="62" spans="2:88">
      <c r="D62" s="108"/>
      <c r="E62" s="54"/>
      <c r="F62" s="54"/>
      <c r="G62" s="54"/>
      <c r="H62" s="109"/>
      <c r="I62" s="108"/>
      <c r="J62" s="54"/>
      <c r="K62" s="54"/>
      <c r="L62" s="54"/>
      <c r="M62" s="102"/>
      <c r="N62" s="108"/>
      <c r="O62" s="54"/>
      <c r="P62" s="54"/>
      <c r="Q62" s="54"/>
      <c r="R62" s="102"/>
      <c r="S62" s="54"/>
      <c r="T62" s="54"/>
      <c r="U62" s="110"/>
      <c r="W62" s="108"/>
      <c r="X62" s="54"/>
      <c r="Y62" s="54"/>
      <c r="Z62" s="54"/>
      <c r="AA62" s="109"/>
      <c r="AB62" s="108"/>
      <c r="AC62" s="54"/>
      <c r="AD62" s="54"/>
      <c r="AE62" s="54"/>
      <c r="AF62" s="102"/>
      <c r="AG62" s="108"/>
      <c r="AH62" s="54"/>
      <c r="AI62" s="54"/>
      <c r="AJ62" s="54"/>
      <c r="AK62" s="102"/>
      <c r="AL62" s="54"/>
      <c r="AM62" s="54"/>
      <c r="AN62" s="110"/>
      <c r="AR62" s="108"/>
      <c r="AS62" s="54"/>
      <c r="AT62" s="54"/>
      <c r="AU62" s="54"/>
      <c r="AV62" s="109"/>
      <c r="AW62" s="108"/>
      <c r="AX62" s="54"/>
      <c r="AY62" s="54"/>
      <c r="AZ62" s="54"/>
      <c r="BA62" s="102"/>
      <c r="BB62" s="108"/>
      <c r="BC62" s="54"/>
      <c r="BD62" s="54"/>
      <c r="BE62" s="54"/>
      <c r="BF62" s="102"/>
      <c r="BG62" s="54"/>
      <c r="BH62" s="54"/>
      <c r="BI62" s="110"/>
      <c r="BL62" s="108"/>
      <c r="BM62" s="54"/>
      <c r="BN62" s="54"/>
      <c r="BO62" s="54"/>
      <c r="BP62" s="109"/>
      <c r="BQ62" s="108"/>
      <c r="BR62" s="54"/>
      <c r="BS62" s="54"/>
      <c r="BT62" s="54"/>
      <c r="BU62" s="102"/>
      <c r="BV62" s="108"/>
      <c r="BW62" s="54"/>
      <c r="BX62" s="54"/>
      <c r="BY62" s="54"/>
      <c r="BZ62" s="102"/>
      <c r="CA62" s="54"/>
      <c r="CB62" s="54"/>
      <c r="CC62" s="110"/>
    </row>
    <row r="63" spans="2:88">
      <c r="D63" s="111"/>
      <c r="E63" s="77"/>
      <c r="F63" s="77"/>
      <c r="G63" s="77"/>
      <c r="H63" s="112"/>
      <c r="I63" s="102"/>
      <c r="J63" s="102"/>
      <c r="K63" s="102"/>
      <c r="L63" s="102"/>
      <c r="M63" s="102"/>
      <c r="N63" s="102"/>
      <c r="O63" s="102"/>
      <c r="P63" s="112"/>
      <c r="Q63" s="112"/>
      <c r="R63" s="112"/>
      <c r="S63" s="77"/>
      <c r="T63" s="77"/>
      <c r="U63" s="113"/>
      <c r="W63" s="111"/>
      <c r="X63" s="77"/>
      <c r="Y63" s="77"/>
      <c r="Z63" s="77"/>
      <c r="AA63" s="112"/>
      <c r="AB63" s="102"/>
      <c r="AC63" s="102"/>
      <c r="AD63" s="102"/>
      <c r="AE63" s="102"/>
      <c r="AF63" s="102"/>
      <c r="AG63" s="102"/>
      <c r="AH63" s="102"/>
      <c r="AI63" s="112"/>
      <c r="AJ63" s="112"/>
      <c r="AK63" s="112"/>
      <c r="AL63" s="77"/>
      <c r="AM63" s="77"/>
      <c r="AN63" s="113"/>
      <c r="AR63" s="111"/>
      <c r="AS63" s="77"/>
      <c r="AT63" s="77"/>
      <c r="AU63" s="77"/>
      <c r="AV63" s="112"/>
      <c r="AW63" s="102"/>
      <c r="AX63" s="102"/>
      <c r="AY63" s="102"/>
      <c r="AZ63" s="102"/>
      <c r="BA63" s="102"/>
      <c r="BB63" s="102"/>
      <c r="BC63" s="102"/>
      <c r="BD63" s="112"/>
      <c r="BE63" s="112"/>
      <c r="BF63" s="112"/>
      <c r="BG63" s="77"/>
      <c r="BH63" s="77"/>
      <c r="BI63" s="113"/>
      <c r="BL63" s="111"/>
      <c r="BM63" s="77"/>
      <c r="BN63" s="77"/>
      <c r="BO63" s="77"/>
      <c r="BP63" s="112"/>
      <c r="BQ63" s="102"/>
      <c r="BR63" s="102"/>
      <c r="BS63" s="102"/>
      <c r="BT63" s="102"/>
      <c r="BU63" s="102"/>
      <c r="BV63" s="102"/>
      <c r="BW63" s="102"/>
      <c r="BX63" s="112"/>
      <c r="BY63" s="112"/>
      <c r="BZ63" s="112"/>
      <c r="CA63" s="77"/>
      <c r="CB63" s="77"/>
      <c r="CC63" s="113"/>
    </row>
    <row r="64" spans="2:88">
      <c r="D64" s="108" t="s">
        <v>214</v>
      </c>
      <c r="E64" s="54"/>
      <c r="F64" s="54"/>
      <c r="G64" s="54"/>
      <c r="H64" s="109"/>
      <c r="I64" s="108"/>
      <c r="J64" s="54"/>
      <c r="K64" s="54"/>
      <c r="L64" s="54"/>
      <c r="M64" s="102"/>
      <c r="N64" s="108"/>
      <c r="O64" s="54"/>
      <c r="P64" s="54"/>
      <c r="Q64" s="54"/>
      <c r="R64" s="102"/>
      <c r="S64" s="54"/>
      <c r="T64" s="54"/>
      <c r="U64" s="110"/>
      <c r="W64" s="108" t="s">
        <v>214</v>
      </c>
      <c r="X64" s="54"/>
      <c r="Y64" s="54"/>
      <c r="Z64" s="54"/>
      <c r="AA64" s="109"/>
      <c r="AB64" s="108"/>
      <c r="AC64" s="54"/>
      <c r="AD64" s="54"/>
      <c r="AE64" s="54"/>
      <c r="AF64" s="102"/>
      <c r="AG64" s="108"/>
      <c r="AH64" s="54"/>
      <c r="AI64" s="54"/>
      <c r="AJ64" s="54"/>
      <c r="AK64" s="102"/>
      <c r="AL64" s="54"/>
      <c r="AM64" s="54"/>
      <c r="AN64" s="110"/>
      <c r="AR64" s="108" t="s">
        <v>214</v>
      </c>
      <c r="AS64" s="54"/>
      <c r="AT64" s="54"/>
      <c r="AU64" s="54"/>
      <c r="AV64" s="109"/>
      <c r="AW64" s="108"/>
      <c r="AX64" s="54"/>
      <c r="AY64" s="54"/>
      <c r="AZ64" s="54"/>
      <c r="BA64" s="102"/>
      <c r="BB64" s="108"/>
      <c r="BC64" s="54"/>
      <c r="BD64" s="54"/>
      <c r="BE64" s="54"/>
      <c r="BF64" s="102"/>
      <c r="BG64" s="54"/>
      <c r="BH64" s="54"/>
      <c r="BI64" s="110"/>
      <c r="BL64" s="108" t="s">
        <v>214</v>
      </c>
      <c r="BM64" s="54"/>
      <c r="BN64" s="54"/>
      <c r="BO64" s="54"/>
      <c r="BP64" s="109"/>
      <c r="BQ64" s="108"/>
      <c r="BR64" s="54"/>
      <c r="BS64" s="54"/>
      <c r="BT64" s="54"/>
      <c r="BU64" s="102"/>
      <c r="BV64" s="108"/>
      <c r="BW64" s="54"/>
      <c r="BX64" s="54"/>
      <c r="BY64" s="54"/>
      <c r="BZ64" s="102"/>
      <c r="CA64" s="54"/>
      <c r="CB64" s="54"/>
      <c r="CC64" s="110"/>
    </row>
    <row r="65" spans="4:81">
      <c r="D65" s="108"/>
      <c r="E65" s="54"/>
      <c r="F65" s="54"/>
      <c r="G65" s="54"/>
      <c r="H65" s="109"/>
      <c r="I65" s="108"/>
      <c r="J65" s="54"/>
      <c r="K65" s="54"/>
      <c r="L65" s="54"/>
      <c r="M65" s="102"/>
      <c r="N65" s="108"/>
      <c r="O65" s="54"/>
      <c r="P65" s="54"/>
      <c r="Q65" s="54"/>
      <c r="R65" s="102"/>
      <c r="S65" s="54"/>
      <c r="T65" s="54"/>
      <c r="U65" s="110"/>
      <c r="W65" s="108"/>
      <c r="X65" s="54"/>
      <c r="Y65" s="54"/>
      <c r="Z65" s="54"/>
      <c r="AA65" s="109"/>
      <c r="AB65" s="108"/>
      <c r="AC65" s="54"/>
      <c r="AD65" s="54"/>
      <c r="AE65" s="54"/>
      <c r="AF65" s="102"/>
      <c r="AG65" s="108"/>
      <c r="AH65" s="54"/>
      <c r="AI65" s="54"/>
      <c r="AJ65" s="54"/>
      <c r="AK65" s="102"/>
      <c r="AL65" s="54"/>
      <c r="AM65" s="54"/>
      <c r="AN65" s="110"/>
      <c r="AR65" s="108"/>
      <c r="AS65" s="54"/>
      <c r="AT65" s="54"/>
      <c r="AU65" s="54"/>
      <c r="AV65" s="109"/>
      <c r="AW65" s="108"/>
      <c r="AX65" s="54"/>
      <c r="AY65" s="54"/>
      <c r="AZ65" s="54"/>
      <c r="BA65" s="102"/>
      <c r="BB65" s="108"/>
      <c r="BC65" s="54"/>
      <c r="BD65" s="54"/>
      <c r="BE65" s="54"/>
      <c r="BF65" s="102"/>
      <c r="BG65" s="54"/>
      <c r="BH65" s="54"/>
      <c r="BI65" s="110"/>
      <c r="BL65" s="108"/>
      <c r="BM65" s="54"/>
      <c r="BN65" s="54"/>
      <c r="BO65" s="54"/>
      <c r="BP65" s="109"/>
      <c r="BQ65" s="108"/>
      <c r="BR65" s="54"/>
      <c r="BS65" s="54"/>
      <c r="BT65" s="54"/>
      <c r="BU65" s="102"/>
      <c r="BV65" s="108"/>
      <c r="BW65" s="54"/>
      <c r="BX65" s="54"/>
      <c r="BY65" s="54"/>
      <c r="BZ65" s="102"/>
      <c r="CA65" s="54"/>
      <c r="CB65" s="54"/>
      <c r="CC65" s="110"/>
    </row>
    <row r="66" spans="4:81">
      <c r="D66" s="114" t="s">
        <v>215</v>
      </c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6"/>
      <c r="W66" s="114" t="s">
        <v>215</v>
      </c>
      <c r="X66" s="115"/>
      <c r="Y66" s="115"/>
      <c r="Z66" s="115"/>
      <c r="AA66" s="115"/>
      <c r="AB66" s="115"/>
      <c r="AC66" s="115"/>
      <c r="AD66" s="115"/>
      <c r="AE66" s="115"/>
      <c r="AF66" s="115"/>
      <c r="AG66" s="115"/>
      <c r="AH66" s="115"/>
      <c r="AI66" s="115"/>
      <c r="AJ66" s="115"/>
      <c r="AK66" s="115"/>
      <c r="AL66" s="115"/>
      <c r="AM66" s="115"/>
      <c r="AN66" s="116"/>
      <c r="AR66" s="114" t="s">
        <v>215</v>
      </c>
      <c r="AS66" s="115"/>
      <c r="AT66" s="115"/>
      <c r="AU66" s="115"/>
      <c r="AV66" s="115"/>
      <c r="AW66" s="115"/>
      <c r="AX66" s="115"/>
      <c r="AY66" s="115"/>
      <c r="AZ66" s="115"/>
      <c r="BA66" s="115"/>
      <c r="BB66" s="115"/>
      <c r="BC66" s="115"/>
      <c r="BD66" s="115"/>
      <c r="BE66" s="115"/>
      <c r="BF66" s="115"/>
      <c r="BG66" s="115"/>
      <c r="BH66" s="115"/>
      <c r="BI66" s="116"/>
      <c r="BL66" s="114" t="s">
        <v>215</v>
      </c>
      <c r="BM66" s="115"/>
      <c r="BN66" s="115"/>
      <c r="BO66" s="115"/>
      <c r="BP66" s="115"/>
      <c r="BQ66" s="115"/>
      <c r="BR66" s="115"/>
      <c r="BS66" s="115"/>
      <c r="BT66" s="115"/>
      <c r="BU66" s="115"/>
      <c r="BV66" s="115"/>
      <c r="BW66" s="115"/>
      <c r="BX66" s="115"/>
      <c r="BY66" s="115"/>
      <c r="BZ66" s="115"/>
      <c r="CA66" s="115"/>
      <c r="CB66" s="115"/>
      <c r="CC66" s="116"/>
    </row>
    <row r="67" spans="4:81">
      <c r="D67" s="81"/>
      <c r="E67" s="67"/>
      <c r="F67" s="67"/>
      <c r="G67" s="67"/>
      <c r="H67" s="67"/>
      <c r="P67" s="67"/>
      <c r="Q67" s="67"/>
      <c r="R67" s="67"/>
      <c r="S67" s="67"/>
      <c r="T67" s="67"/>
      <c r="U67" s="68"/>
      <c r="W67" s="81"/>
      <c r="X67" s="67"/>
      <c r="Y67" s="67"/>
      <c r="Z67" s="67"/>
      <c r="AA67" s="67"/>
      <c r="AI67" s="67"/>
      <c r="AJ67" s="67"/>
      <c r="AK67" s="67"/>
      <c r="AL67" s="67"/>
      <c r="AM67" s="67"/>
      <c r="AN67" s="68"/>
      <c r="AR67" s="81"/>
      <c r="AS67" s="67"/>
      <c r="AT67" s="67"/>
      <c r="AU67" s="67"/>
      <c r="AV67" s="67"/>
      <c r="BD67" s="67"/>
      <c r="BE67" s="67"/>
      <c r="BF67" s="67"/>
      <c r="BG67" s="67"/>
      <c r="BH67" s="67"/>
      <c r="BI67" s="68"/>
      <c r="BL67" s="81"/>
      <c r="BM67" s="67"/>
      <c r="BN67" s="67"/>
      <c r="BO67" s="67"/>
      <c r="BP67" s="67"/>
      <c r="BX67" s="67"/>
      <c r="BY67" s="67"/>
      <c r="BZ67" s="67"/>
      <c r="CA67" s="67"/>
      <c r="CB67" s="67"/>
      <c r="CC67" s="68"/>
    </row>
    <row r="68" spans="4:81">
      <c r="D68" s="117"/>
      <c r="E68" s="118"/>
      <c r="F68" s="118"/>
      <c r="G68" s="118"/>
      <c r="H68" s="118"/>
      <c r="I68" s="119" t="s">
        <v>216</v>
      </c>
      <c r="J68" s="119"/>
      <c r="K68" s="119"/>
      <c r="L68" s="119"/>
      <c r="M68" s="119"/>
      <c r="N68" s="119"/>
      <c r="O68" s="119"/>
      <c r="P68" s="118"/>
      <c r="Q68" s="118"/>
      <c r="R68" s="118"/>
      <c r="S68" s="118"/>
      <c r="T68" s="118"/>
      <c r="U68" s="120"/>
      <c r="W68" s="117"/>
      <c r="X68" s="118"/>
      <c r="Y68" s="118"/>
      <c r="Z68" s="118"/>
      <c r="AA68" s="118"/>
      <c r="AB68" s="119" t="s">
        <v>216</v>
      </c>
      <c r="AC68" s="119"/>
      <c r="AD68" s="119"/>
      <c r="AE68" s="119"/>
      <c r="AF68" s="119"/>
      <c r="AG68" s="119"/>
      <c r="AH68" s="119"/>
      <c r="AI68" s="118"/>
      <c r="AJ68" s="118"/>
      <c r="AK68" s="118"/>
      <c r="AL68" s="118"/>
      <c r="AM68" s="118"/>
      <c r="AN68" s="120"/>
      <c r="AR68" s="117"/>
      <c r="AS68" s="118"/>
      <c r="AT68" s="118"/>
      <c r="AU68" s="118"/>
      <c r="AV68" s="118"/>
      <c r="AW68" s="119" t="s">
        <v>216</v>
      </c>
      <c r="AX68" s="119"/>
      <c r="AY68" s="119"/>
      <c r="AZ68" s="119"/>
      <c r="BA68" s="119"/>
      <c r="BB68" s="119"/>
      <c r="BC68" s="119"/>
      <c r="BD68" s="118"/>
      <c r="BE68" s="118"/>
      <c r="BF68" s="118"/>
      <c r="BG68" s="118"/>
      <c r="BH68" s="118"/>
      <c r="BI68" s="120"/>
      <c r="BL68" s="117"/>
      <c r="BM68" s="118"/>
      <c r="BN68" s="118"/>
      <c r="BO68" s="118"/>
      <c r="BP68" s="118"/>
      <c r="BQ68" s="119" t="s">
        <v>216</v>
      </c>
      <c r="BR68" s="119"/>
      <c r="BS68" s="119"/>
      <c r="BT68" s="119"/>
      <c r="BU68" s="119"/>
      <c r="BV68" s="119"/>
      <c r="BW68" s="119"/>
      <c r="BX68" s="118"/>
      <c r="BY68" s="118"/>
      <c r="BZ68" s="118"/>
      <c r="CA68" s="118"/>
      <c r="CB68" s="118"/>
      <c r="CC68" s="120"/>
    </row>
    <row r="69" spans="4:81">
      <c r="D69" s="117"/>
      <c r="E69" s="118"/>
      <c r="F69" s="121"/>
      <c r="G69" s="118"/>
      <c r="H69" s="118"/>
      <c r="I69" s="119"/>
      <c r="J69" s="119"/>
      <c r="K69" s="119"/>
      <c r="L69" s="119"/>
      <c r="M69" s="119"/>
      <c r="N69" s="119"/>
      <c r="O69" s="119"/>
      <c r="P69" s="118"/>
      <c r="Q69" s="118"/>
      <c r="R69" s="118"/>
      <c r="S69" s="118"/>
      <c r="T69" s="118"/>
      <c r="U69" s="120"/>
      <c r="W69" s="117"/>
      <c r="X69" s="118"/>
      <c r="Y69" s="121"/>
      <c r="Z69" s="118"/>
      <c r="AA69" s="118"/>
      <c r="AB69" s="119"/>
      <c r="AC69" s="119"/>
      <c r="AD69" s="119"/>
      <c r="AE69" s="119"/>
      <c r="AF69" s="119"/>
      <c r="AG69" s="119"/>
      <c r="AH69" s="119"/>
      <c r="AI69" s="118"/>
      <c r="AJ69" s="118"/>
      <c r="AK69" s="118"/>
      <c r="AL69" s="118"/>
      <c r="AM69" s="118"/>
      <c r="AN69" s="120"/>
      <c r="AR69" s="117"/>
      <c r="AS69" s="118"/>
      <c r="AT69" s="121"/>
      <c r="AU69" s="118"/>
      <c r="AV69" s="118"/>
      <c r="AW69" s="119"/>
      <c r="AX69" s="119"/>
      <c r="AY69" s="119"/>
      <c r="AZ69" s="119"/>
      <c r="BA69" s="119"/>
      <c r="BB69" s="119"/>
      <c r="BC69" s="119"/>
      <c r="BD69" s="118"/>
      <c r="BE69" s="118"/>
      <c r="BF69" s="118"/>
      <c r="BG69" s="118"/>
      <c r="BH69" s="118"/>
      <c r="BI69" s="120"/>
      <c r="BL69" s="117"/>
      <c r="BM69" s="118"/>
      <c r="BN69" s="121"/>
      <c r="BO69" s="118"/>
      <c r="BP69" s="118"/>
      <c r="BQ69" s="119"/>
      <c r="BR69" s="119"/>
      <c r="BS69" s="119"/>
      <c r="BT69" s="119"/>
      <c r="BU69" s="119"/>
      <c r="BV69" s="119"/>
      <c r="BW69" s="119"/>
      <c r="BX69" s="118"/>
      <c r="BY69" s="118"/>
      <c r="BZ69" s="118"/>
      <c r="CA69" s="118"/>
      <c r="CB69" s="118"/>
      <c r="CC69" s="120"/>
    </row>
    <row r="70" spans="4:81">
      <c r="D70" s="81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8"/>
      <c r="W70" s="81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8"/>
      <c r="AR70" s="81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8"/>
      <c r="BL70" s="81"/>
      <c r="BM70" s="67"/>
      <c r="BN70" s="67"/>
      <c r="BO70" s="67"/>
      <c r="BP70" s="67"/>
      <c r="BQ70" s="67"/>
      <c r="BR70" s="67"/>
      <c r="BS70" s="67"/>
      <c r="BT70" s="67"/>
      <c r="BU70" s="67"/>
      <c r="BV70" s="67"/>
      <c r="BW70" s="67"/>
      <c r="BX70" s="67"/>
      <c r="BY70" s="67"/>
      <c r="BZ70" s="67"/>
      <c r="CA70" s="67"/>
      <c r="CB70" s="67"/>
      <c r="CC70" s="68"/>
    </row>
    <row r="71" spans="4:81">
      <c r="D71" s="109" t="s">
        <v>217</v>
      </c>
      <c r="E71" s="102"/>
      <c r="F71" s="102"/>
      <c r="G71" s="102"/>
      <c r="H71" s="102"/>
      <c r="I71" s="102"/>
      <c r="J71" s="102" t="s">
        <v>218</v>
      </c>
      <c r="K71" s="102"/>
      <c r="L71" s="102"/>
      <c r="M71" s="102"/>
      <c r="N71" s="102" t="s">
        <v>219</v>
      </c>
      <c r="O71" s="102"/>
      <c r="P71" s="102"/>
      <c r="Q71" s="99"/>
      <c r="R71" s="102" t="s">
        <v>220</v>
      </c>
      <c r="S71" s="102"/>
      <c r="T71" s="102"/>
      <c r="U71" s="122"/>
      <c r="W71" s="111" t="s">
        <v>221</v>
      </c>
      <c r="X71" s="60"/>
      <c r="Y71" s="60"/>
      <c r="Z71" s="113"/>
      <c r="AA71" s="60" t="s">
        <v>222</v>
      </c>
      <c r="AB71" s="60"/>
      <c r="AC71" s="60"/>
      <c r="AD71" s="60"/>
      <c r="AE71" s="113"/>
      <c r="AF71" s="60" t="s">
        <v>192</v>
      </c>
      <c r="AG71" s="60"/>
      <c r="AH71" s="60"/>
      <c r="AI71" s="113"/>
      <c r="AJ71" s="60" t="s">
        <v>223</v>
      </c>
      <c r="AK71" s="60"/>
      <c r="AL71" s="60"/>
      <c r="AM71" s="60"/>
      <c r="AN71" s="113"/>
      <c r="AR71" s="123" t="s">
        <v>224</v>
      </c>
      <c r="AS71" s="48"/>
      <c r="AT71" s="48"/>
      <c r="AU71" s="48"/>
      <c r="AV71" s="48"/>
      <c r="AW71" s="48"/>
      <c r="AX71" s="124"/>
      <c r="AY71" s="125">
        <v>50</v>
      </c>
      <c r="AZ71" s="125"/>
      <c r="BA71" s="102"/>
      <c r="BB71" s="48" t="s">
        <v>225</v>
      </c>
      <c r="BC71" s="54"/>
      <c r="BD71" s="54"/>
      <c r="BE71" s="54"/>
      <c r="BF71" s="54"/>
      <c r="BG71" s="102">
        <v>80</v>
      </c>
      <c r="BH71" s="102"/>
      <c r="BI71" s="126"/>
      <c r="BL71" s="123" t="s">
        <v>226</v>
      </c>
      <c r="BM71" s="48"/>
      <c r="BN71" s="48"/>
      <c r="BO71" s="48"/>
      <c r="BP71" s="48"/>
      <c r="BQ71" s="48"/>
      <c r="BR71" s="125">
        <v>50</v>
      </c>
      <c r="BS71" s="125"/>
      <c r="BT71" s="125"/>
      <c r="BU71" s="109"/>
      <c r="BV71" s="48" t="s">
        <v>227</v>
      </c>
      <c r="BW71" s="54"/>
      <c r="BX71" s="54"/>
      <c r="BY71" s="54"/>
      <c r="BZ71" s="54"/>
      <c r="CA71" s="127">
        <f>BR71*500</f>
        <v>25000</v>
      </c>
      <c r="CB71" s="127"/>
      <c r="CC71" s="128"/>
    </row>
    <row r="72" spans="4:81">
      <c r="D72" s="129">
        <v>500</v>
      </c>
      <c r="E72" s="130"/>
      <c r="F72" s="130"/>
      <c r="G72" s="130"/>
      <c r="H72" s="130"/>
      <c r="I72" s="130"/>
      <c r="J72" s="102">
        <v>150</v>
      </c>
      <c r="K72" s="102"/>
      <c r="L72" s="102"/>
      <c r="M72" s="130"/>
      <c r="N72" s="102">
        <v>100</v>
      </c>
      <c r="O72" s="102"/>
      <c r="P72" s="102"/>
      <c r="Q72" s="99"/>
      <c r="R72" s="102">
        <v>250</v>
      </c>
      <c r="S72" s="102"/>
      <c r="T72" s="102"/>
      <c r="U72" s="122"/>
      <c r="V72" s="67"/>
      <c r="W72" s="81">
        <v>360</v>
      </c>
      <c r="Z72" s="68"/>
      <c r="AA72" s="60">
        <v>60</v>
      </c>
      <c r="AB72" s="60"/>
      <c r="AC72" s="60"/>
      <c r="AD72" s="60"/>
      <c r="AE72" s="113"/>
      <c r="AF72" s="60">
        <v>100</v>
      </c>
      <c r="AG72" s="60"/>
      <c r="AH72" s="60"/>
      <c r="AI72" s="113"/>
      <c r="AJ72" s="60">
        <v>150</v>
      </c>
      <c r="AK72" s="60"/>
      <c r="AL72" s="60"/>
      <c r="AM72" s="60"/>
      <c r="AN72" s="113"/>
      <c r="AR72" s="123"/>
      <c r="AS72" s="48"/>
      <c r="AT72" s="48"/>
      <c r="AU72" s="48"/>
      <c r="AV72" s="48"/>
      <c r="AW72" s="48"/>
      <c r="AX72" s="124"/>
      <c r="AY72" s="125"/>
      <c r="AZ72" s="125"/>
      <c r="BA72" s="102"/>
      <c r="BB72" s="54"/>
      <c r="BC72" s="54"/>
      <c r="BD72" s="54"/>
      <c r="BE72" s="54"/>
      <c r="BF72" s="54"/>
      <c r="BG72" s="102"/>
      <c r="BH72" s="102"/>
      <c r="BI72" s="126"/>
      <c r="BL72" s="123"/>
      <c r="BM72" s="48"/>
      <c r="BN72" s="48"/>
      <c r="BO72" s="48"/>
      <c r="BP72" s="48"/>
      <c r="BQ72" s="48"/>
      <c r="BR72" s="125"/>
      <c r="BS72" s="125"/>
      <c r="BT72" s="125"/>
      <c r="BU72" s="109"/>
      <c r="BV72" s="54"/>
      <c r="BW72" s="54"/>
      <c r="BX72" s="54"/>
      <c r="BY72" s="54"/>
      <c r="BZ72" s="54"/>
      <c r="CA72" s="127"/>
      <c r="CB72" s="127"/>
      <c r="CC72" s="128"/>
    </row>
    <row r="73" spans="4:81">
      <c r="D73" s="129"/>
      <c r="E73" s="130"/>
      <c r="F73" s="130"/>
      <c r="G73" s="130"/>
      <c r="H73" s="130"/>
      <c r="I73" s="130"/>
      <c r="J73" s="102"/>
      <c r="K73" s="102"/>
      <c r="L73" s="102"/>
      <c r="M73" s="130"/>
      <c r="N73" s="102"/>
      <c r="O73" s="102"/>
      <c r="P73" s="102"/>
      <c r="Q73" s="130"/>
      <c r="R73" s="102"/>
      <c r="S73" s="102"/>
      <c r="T73" s="102"/>
      <c r="U73" s="122"/>
      <c r="V73" s="67"/>
      <c r="W73" s="81"/>
      <c r="X73" s="67"/>
      <c r="Y73" s="67"/>
      <c r="Z73" s="68"/>
      <c r="AA73" s="67"/>
      <c r="AB73" s="67"/>
      <c r="AE73" s="68"/>
      <c r="AH73" s="67"/>
      <c r="AI73" s="68"/>
      <c r="AJ73" s="67"/>
      <c r="AK73" s="67"/>
      <c r="AL73" s="67"/>
      <c r="AM73" s="67"/>
      <c r="AN73" s="68"/>
      <c r="AR73" s="81"/>
      <c r="AV73" s="60"/>
      <c r="AW73" s="60"/>
      <c r="AX73" s="77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8"/>
      <c r="BL73" s="81"/>
      <c r="BP73" s="60"/>
      <c r="BQ73" s="60"/>
      <c r="BR73" s="77"/>
      <c r="BS73" s="60"/>
      <c r="BT73" s="60"/>
      <c r="BU73" s="111"/>
      <c r="BV73" s="60"/>
      <c r="BW73" s="60"/>
      <c r="BX73" s="60"/>
      <c r="BY73" s="60"/>
      <c r="BZ73" s="60"/>
      <c r="CA73" s="60"/>
      <c r="CB73" s="60"/>
      <c r="CC73" s="68"/>
    </row>
    <row r="74" spans="4:81">
      <c r="D74" s="129"/>
      <c r="E74" s="130"/>
      <c r="F74" s="130"/>
      <c r="G74" s="130"/>
      <c r="H74" s="130"/>
      <c r="I74" s="130"/>
      <c r="J74" s="102"/>
      <c r="K74" s="102"/>
      <c r="L74" s="102"/>
      <c r="M74" s="130"/>
      <c r="N74" s="102"/>
      <c r="O74" s="102"/>
      <c r="P74" s="102"/>
      <c r="Q74" s="130"/>
      <c r="R74" s="102"/>
      <c r="S74" s="102"/>
      <c r="T74" s="102"/>
      <c r="U74" s="122"/>
      <c r="W74" s="111" t="s">
        <v>228</v>
      </c>
      <c r="X74" s="60"/>
      <c r="Y74" s="60"/>
      <c r="Z74" s="113"/>
      <c r="AA74" s="77" t="s">
        <v>228</v>
      </c>
      <c r="AB74" s="60"/>
      <c r="AC74" s="60"/>
      <c r="AD74" s="60"/>
      <c r="AE74" s="113"/>
      <c r="AF74" s="77" t="s">
        <v>228</v>
      </c>
      <c r="AG74" s="60"/>
      <c r="AH74" s="60"/>
      <c r="AI74" s="113"/>
      <c r="AJ74" s="60" t="s">
        <v>228</v>
      </c>
      <c r="AK74" s="60"/>
      <c r="AL74" s="60"/>
      <c r="AM74" s="60"/>
      <c r="AN74" s="113"/>
      <c r="AR74" s="123" t="s">
        <v>229</v>
      </c>
      <c r="AS74" s="48"/>
      <c r="AT74" s="48"/>
      <c r="AU74" s="48"/>
      <c r="AV74" s="48"/>
      <c r="AW74" s="48"/>
      <c r="AX74" s="124"/>
      <c r="AY74" s="125">
        <v>60</v>
      </c>
      <c r="AZ74" s="125"/>
      <c r="BB74" s="48" t="s">
        <v>230</v>
      </c>
      <c r="BC74" s="54"/>
      <c r="BD74" s="54"/>
      <c r="BE74" s="54"/>
      <c r="BF74" s="54"/>
      <c r="BG74" s="102">
        <v>30</v>
      </c>
      <c r="BH74" s="102"/>
      <c r="BI74" s="126"/>
      <c r="BL74" s="123" t="s">
        <v>231</v>
      </c>
      <c r="BM74" s="48"/>
      <c r="BN74" s="48"/>
      <c r="BO74" s="48"/>
      <c r="BP74" s="48"/>
      <c r="BQ74" s="48"/>
      <c r="BR74" s="125">
        <v>20</v>
      </c>
      <c r="BS74" s="125"/>
      <c r="BT74" s="125"/>
      <c r="BU74" s="81"/>
      <c r="BV74" s="48" t="s">
        <v>227</v>
      </c>
      <c r="BW74" s="54"/>
      <c r="BX74" s="54"/>
      <c r="BY74" s="54"/>
      <c r="BZ74" s="54"/>
      <c r="CA74" s="127">
        <f>BR74*2500</f>
        <v>50000</v>
      </c>
      <c r="CB74" s="127"/>
      <c r="CC74" s="128"/>
    </row>
    <row r="75" spans="4:81">
      <c r="D75" s="109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26"/>
      <c r="W75" s="81">
        <v>130</v>
      </c>
      <c r="Z75" s="68"/>
      <c r="AA75" s="60">
        <v>60</v>
      </c>
      <c r="AB75" s="60"/>
      <c r="AC75" s="60"/>
      <c r="AD75" s="60"/>
      <c r="AE75" s="113"/>
      <c r="AF75" s="60">
        <v>20</v>
      </c>
      <c r="AG75" s="60"/>
      <c r="AH75" s="60"/>
      <c r="AI75" s="113"/>
      <c r="AJ75" s="77"/>
      <c r="AK75" s="60">
        <v>50</v>
      </c>
      <c r="AL75" s="60"/>
      <c r="AM75" s="60"/>
      <c r="AN75" s="113"/>
      <c r="AR75" s="123"/>
      <c r="AS75" s="48"/>
      <c r="AT75" s="48"/>
      <c r="AU75" s="48"/>
      <c r="AV75" s="48"/>
      <c r="AW75" s="48"/>
      <c r="AX75" s="124"/>
      <c r="AY75" s="125"/>
      <c r="AZ75" s="125"/>
      <c r="BB75" s="54"/>
      <c r="BC75" s="54"/>
      <c r="BD75" s="54"/>
      <c r="BE75" s="54"/>
      <c r="BF75" s="54"/>
      <c r="BG75" s="102"/>
      <c r="BH75" s="102"/>
      <c r="BI75" s="126"/>
      <c r="BL75" s="123"/>
      <c r="BM75" s="48"/>
      <c r="BN75" s="48"/>
      <c r="BO75" s="48"/>
      <c r="BP75" s="48"/>
      <c r="BQ75" s="48"/>
      <c r="BR75" s="125"/>
      <c r="BS75" s="125"/>
      <c r="BT75" s="125"/>
      <c r="BU75" s="81"/>
      <c r="BV75" s="54"/>
      <c r="BW75" s="54"/>
      <c r="BX75" s="54"/>
      <c r="BY75" s="54"/>
      <c r="BZ75" s="54"/>
      <c r="CA75" s="127"/>
      <c r="CB75" s="127"/>
      <c r="CC75" s="128"/>
    </row>
    <row r="76" spans="4:81">
      <c r="D76" s="131" t="s">
        <v>232</v>
      </c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132"/>
      <c r="W76" s="81"/>
      <c r="Z76" s="68"/>
      <c r="AE76" s="68"/>
      <c r="AI76" s="68"/>
      <c r="AN76" s="68"/>
      <c r="AR76" s="81"/>
      <c r="AX76" s="67"/>
      <c r="BI76" s="68"/>
      <c r="BL76" s="81"/>
      <c r="BR76" s="67"/>
      <c r="BU76" s="81"/>
      <c r="CC76" s="68"/>
    </row>
    <row r="77" spans="4:81">
      <c r="D77" s="133" t="s">
        <v>210</v>
      </c>
      <c r="E77" s="134"/>
      <c r="F77" s="134"/>
      <c r="G77" s="134"/>
      <c r="H77" s="134"/>
      <c r="I77" s="134"/>
      <c r="J77" s="134"/>
      <c r="K77" s="77"/>
      <c r="L77" s="67"/>
      <c r="M77" s="67"/>
      <c r="N77" s="67"/>
      <c r="O77" s="67"/>
      <c r="P77" s="67"/>
      <c r="Q77" s="67"/>
      <c r="R77" s="135">
        <v>10</v>
      </c>
      <c r="S77" s="135"/>
      <c r="T77" s="135"/>
      <c r="U77" s="68"/>
      <c r="W77" s="111" t="s">
        <v>233</v>
      </c>
      <c r="X77" s="60"/>
      <c r="Y77" s="60"/>
      <c r="Z77" s="113"/>
      <c r="AA77" s="77" t="s">
        <v>233</v>
      </c>
      <c r="AB77" s="60"/>
      <c r="AC77" s="60"/>
      <c r="AD77" s="60"/>
      <c r="AE77" s="113"/>
      <c r="AF77" s="77" t="s">
        <v>233</v>
      </c>
      <c r="AG77" s="60"/>
      <c r="AH77" s="60"/>
      <c r="AI77" s="113"/>
      <c r="AJ77" s="60" t="s">
        <v>233</v>
      </c>
      <c r="AK77" s="60"/>
      <c r="AL77" s="60"/>
      <c r="AM77" s="60"/>
      <c r="AN77" s="113"/>
      <c r="AR77" s="108" t="s">
        <v>198</v>
      </c>
      <c r="AS77" s="54"/>
      <c r="AT77" s="54"/>
      <c r="AU77" s="54"/>
      <c r="AV77" s="54"/>
      <c r="AW77" s="54"/>
      <c r="AX77" s="77"/>
      <c r="AY77" s="60">
        <v>100</v>
      </c>
      <c r="AZ77" s="60"/>
      <c r="BB77" s="54" t="s">
        <v>234</v>
      </c>
      <c r="BC77" s="54"/>
      <c r="BD77" s="54"/>
      <c r="BE77" s="54"/>
      <c r="BF77" s="54"/>
      <c r="BG77" s="102">
        <v>10</v>
      </c>
      <c r="BH77" s="102"/>
      <c r="BI77" s="126"/>
      <c r="BL77" s="123" t="s">
        <v>235</v>
      </c>
      <c r="BM77" s="48"/>
      <c r="BN77" s="48"/>
      <c r="BO77" s="48"/>
      <c r="BP77" s="48"/>
      <c r="BQ77" s="48"/>
      <c r="BR77" s="60">
        <v>5</v>
      </c>
      <c r="BS77" s="60"/>
      <c r="BT77" s="60"/>
      <c r="BU77" s="81"/>
      <c r="BV77" s="48" t="s">
        <v>227</v>
      </c>
      <c r="BW77" s="54"/>
      <c r="BX77" s="54"/>
      <c r="BY77" s="54"/>
      <c r="BZ77" s="54"/>
      <c r="CA77" s="127">
        <f>BR77*15000</f>
        <v>75000</v>
      </c>
      <c r="CB77" s="127"/>
      <c r="CC77" s="128"/>
    </row>
    <row r="78" spans="4:81">
      <c r="D78" s="133"/>
      <c r="E78" s="134"/>
      <c r="F78" s="134"/>
      <c r="G78" s="134"/>
      <c r="H78" s="134"/>
      <c r="I78" s="134"/>
      <c r="J78" s="134"/>
      <c r="K78" s="77"/>
      <c r="L78" s="67"/>
      <c r="M78" s="67"/>
      <c r="N78" s="67"/>
      <c r="O78" s="67"/>
      <c r="P78" s="67"/>
      <c r="Q78" s="67"/>
      <c r="R78" s="135"/>
      <c r="S78" s="135"/>
      <c r="T78" s="135"/>
      <c r="U78" s="113" t="s">
        <v>184</v>
      </c>
      <c r="W78" s="81">
        <v>260</v>
      </c>
      <c r="Z78" s="68"/>
      <c r="AA78" s="60">
        <v>120</v>
      </c>
      <c r="AB78" s="60"/>
      <c r="AC78" s="60"/>
      <c r="AD78" s="60"/>
      <c r="AE78" s="113"/>
      <c r="AF78" s="60">
        <v>40</v>
      </c>
      <c r="AG78" s="60"/>
      <c r="AH78" s="60"/>
      <c r="AI78" s="113"/>
      <c r="AJ78" s="77"/>
      <c r="AK78" s="60">
        <v>100</v>
      </c>
      <c r="AL78" s="60"/>
      <c r="AM78" s="60"/>
      <c r="AN78" s="113"/>
      <c r="AR78" s="108"/>
      <c r="AS78" s="54"/>
      <c r="AT78" s="54"/>
      <c r="AU78" s="54"/>
      <c r="AV78" s="54"/>
      <c r="AW78" s="54"/>
      <c r="AX78" s="77"/>
      <c r="AY78" s="60"/>
      <c r="AZ78" s="60"/>
      <c r="BB78" s="54"/>
      <c r="BC78" s="54"/>
      <c r="BD78" s="54"/>
      <c r="BE78" s="54"/>
      <c r="BF78" s="54"/>
      <c r="BG78" s="102"/>
      <c r="BH78" s="102"/>
      <c r="BI78" s="126"/>
      <c r="BL78" s="123"/>
      <c r="BM78" s="48"/>
      <c r="BN78" s="48"/>
      <c r="BO78" s="48"/>
      <c r="BP78" s="48"/>
      <c r="BQ78" s="48"/>
      <c r="BR78" s="60"/>
      <c r="BS78" s="60"/>
      <c r="BT78" s="60"/>
      <c r="BU78" s="81"/>
      <c r="BV78" s="54"/>
      <c r="BW78" s="54"/>
      <c r="BX78" s="54"/>
      <c r="BY78" s="54"/>
      <c r="BZ78" s="54"/>
      <c r="CA78" s="127"/>
      <c r="CB78" s="127"/>
      <c r="CC78" s="128"/>
    </row>
    <row r="79" spans="4:81">
      <c r="D79" s="136"/>
      <c r="E79" s="137"/>
      <c r="F79" s="137"/>
      <c r="G79" s="137"/>
      <c r="H79" s="137"/>
      <c r="I79" s="137"/>
      <c r="J79" s="137"/>
      <c r="K79" s="138"/>
      <c r="L79" s="138"/>
      <c r="M79" s="138"/>
      <c r="N79" s="138"/>
      <c r="O79" s="138"/>
      <c r="P79" s="138"/>
      <c r="Q79" s="138"/>
      <c r="R79" s="139" t="s">
        <v>236</v>
      </c>
      <c r="S79" s="139"/>
      <c r="T79" s="138"/>
      <c r="U79" s="140"/>
      <c r="W79" s="81"/>
      <c r="Z79" s="68"/>
      <c r="AE79" s="68"/>
      <c r="AI79" s="68"/>
      <c r="AN79" s="68"/>
      <c r="AR79" s="81"/>
      <c r="AX79" s="67"/>
      <c r="BI79" s="68"/>
      <c r="BL79" s="81"/>
      <c r="BR79" s="67"/>
      <c r="BU79" s="81"/>
      <c r="CC79" s="68"/>
    </row>
    <row r="80" spans="4:81">
      <c r="D80" s="133" t="s">
        <v>211</v>
      </c>
      <c r="E80" s="134"/>
      <c r="F80" s="134"/>
      <c r="G80" s="134"/>
      <c r="H80" s="134"/>
      <c r="I80" s="134"/>
      <c r="J80" s="134"/>
      <c r="K80" s="67"/>
      <c r="L80" s="67"/>
      <c r="M80" s="67"/>
      <c r="N80" s="67"/>
      <c r="O80" s="67"/>
      <c r="P80" s="67"/>
      <c r="Q80" s="67"/>
      <c r="R80" s="135">
        <v>10</v>
      </c>
      <c r="S80" s="135"/>
      <c r="T80" s="135"/>
      <c r="U80" s="68"/>
      <c r="W80" s="81"/>
      <c r="AN80" s="68"/>
      <c r="AR80" s="108" t="s">
        <v>199</v>
      </c>
      <c r="AS80" s="54"/>
      <c r="AT80" s="54"/>
      <c r="AU80" s="54"/>
      <c r="AV80" s="54"/>
      <c r="AW80" s="54"/>
      <c r="AX80" s="67"/>
      <c r="AY80" s="59">
        <v>150</v>
      </c>
      <c r="BB80" s="54" t="s">
        <v>234</v>
      </c>
      <c r="BC80" s="54"/>
      <c r="BD80" s="54"/>
      <c r="BE80" s="54"/>
      <c r="BF80" s="54"/>
      <c r="BG80" s="102">
        <v>20</v>
      </c>
      <c r="BH80" s="102"/>
      <c r="BI80" s="126"/>
      <c r="BL80" s="123" t="s">
        <v>237</v>
      </c>
      <c r="BM80" s="48"/>
      <c r="BN80" s="48"/>
      <c r="BO80" s="48"/>
      <c r="BP80" s="48"/>
      <c r="BQ80" s="48"/>
      <c r="BR80" s="59">
        <v>1</v>
      </c>
      <c r="BU80" s="81"/>
      <c r="BV80" s="48" t="s">
        <v>227</v>
      </c>
      <c r="BW80" s="54"/>
      <c r="BX80" s="54"/>
      <c r="BY80" s="54"/>
      <c r="BZ80" s="54"/>
      <c r="CA80" s="127">
        <v>35000</v>
      </c>
      <c r="CB80" s="127"/>
      <c r="CC80" s="128"/>
    </row>
    <row r="81" spans="4:81">
      <c r="D81" s="133"/>
      <c r="E81" s="134"/>
      <c r="F81" s="134"/>
      <c r="G81" s="134"/>
      <c r="H81" s="134"/>
      <c r="I81" s="134"/>
      <c r="J81" s="134"/>
      <c r="K81" s="67"/>
      <c r="L81" s="67"/>
      <c r="M81" s="67"/>
      <c r="N81" s="67"/>
      <c r="O81" s="67"/>
      <c r="P81" s="67"/>
      <c r="Q81" s="67"/>
      <c r="R81" s="135"/>
      <c r="S81" s="135"/>
      <c r="T81" s="135"/>
      <c r="U81" s="113" t="s">
        <v>184</v>
      </c>
      <c r="W81" s="131" t="s">
        <v>238</v>
      </c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132"/>
      <c r="AR81" s="108"/>
      <c r="AS81" s="54"/>
      <c r="AT81" s="54"/>
      <c r="AU81" s="54"/>
      <c r="AV81" s="54"/>
      <c r="AW81" s="54"/>
      <c r="AX81" s="67"/>
      <c r="BB81" s="54"/>
      <c r="BC81" s="54"/>
      <c r="BD81" s="54"/>
      <c r="BE81" s="54"/>
      <c r="BF81" s="54"/>
      <c r="BG81" s="102"/>
      <c r="BH81" s="102"/>
      <c r="BI81" s="126"/>
      <c r="BL81" s="123"/>
      <c r="BM81" s="48"/>
      <c r="BN81" s="48"/>
      <c r="BO81" s="48"/>
      <c r="BP81" s="48"/>
      <c r="BQ81" s="48"/>
      <c r="BU81" s="81"/>
      <c r="BV81" s="54"/>
      <c r="BW81" s="54"/>
      <c r="BX81" s="54"/>
      <c r="BY81" s="54"/>
      <c r="BZ81" s="54"/>
      <c r="CA81" s="127"/>
      <c r="CB81" s="127"/>
      <c r="CC81" s="128"/>
    </row>
    <row r="82" spans="4:81">
      <c r="D82" s="136"/>
      <c r="E82" s="137"/>
      <c r="F82" s="137"/>
      <c r="G82" s="137"/>
      <c r="H82" s="137"/>
      <c r="I82" s="137"/>
      <c r="J82" s="137"/>
      <c r="K82" s="138"/>
      <c r="L82" s="138"/>
      <c r="M82" s="138"/>
      <c r="N82" s="138"/>
      <c r="O82" s="138"/>
      <c r="P82" s="138"/>
      <c r="Q82" s="138"/>
      <c r="R82" s="139" t="s">
        <v>236</v>
      </c>
      <c r="S82" s="139"/>
      <c r="T82" s="138"/>
      <c r="U82" s="140"/>
      <c r="W82" s="133" t="s">
        <v>210</v>
      </c>
      <c r="X82" s="134"/>
      <c r="Y82" s="134"/>
      <c r="Z82" s="134"/>
      <c r="AA82" s="134"/>
      <c r="AB82" s="134"/>
      <c r="AC82" s="134"/>
      <c r="AD82" s="77"/>
      <c r="AE82" s="67"/>
      <c r="AF82" s="67"/>
      <c r="AG82" s="67"/>
      <c r="AH82" s="67"/>
      <c r="AI82" s="67"/>
      <c r="AJ82" s="67"/>
      <c r="AK82" s="135">
        <v>10</v>
      </c>
      <c r="AL82" s="135"/>
      <c r="AM82" s="135"/>
      <c r="AN82" s="68"/>
      <c r="AR82" s="81"/>
      <c r="AX82" s="67"/>
      <c r="BI82" s="68"/>
      <c r="BL82" s="81"/>
      <c r="BR82" s="67"/>
      <c r="BU82" s="81"/>
      <c r="CC82" s="68"/>
    </row>
    <row r="83" spans="4:81">
      <c r="D83" s="133" t="s">
        <v>213</v>
      </c>
      <c r="E83" s="134"/>
      <c r="F83" s="134"/>
      <c r="G83" s="134"/>
      <c r="H83" s="134"/>
      <c r="I83" s="134"/>
      <c r="J83" s="134"/>
      <c r="K83" s="67"/>
      <c r="L83" s="67"/>
      <c r="M83" s="67"/>
      <c r="N83" s="67"/>
      <c r="O83" s="67"/>
      <c r="P83" s="67"/>
      <c r="Q83" s="67"/>
      <c r="R83" s="135">
        <v>10</v>
      </c>
      <c r="S83" s="135"/>
      <c r="T83" s="135"/>
      <c r="U83" s="68"/>
      <c r="W83" s="133"/>
      <c r="X83" s="134"/>
      <c r="Y83" s="134"/>
      <c r="Z83" s="134"/>
      <c r="AA83" s="134"/>
      <c r="AB83" s="134"/>
      <c r="AC83" s="134"/>
      <c r="AD83" s="77"/>
      <c r="AE83" s="67"/>
      <c r="AF83" s="67"/>
      <c r="AG83" s="67"/>
      <c r="AH83" s="67"/>
      <c r="AI83" s="67"/>
      <c r="AJ83" s="67"/>
      <c r="AK83" s="135"/>
      <c r="AL83" s="135"/>
      <c r="AM83" s="135"/>
      <c r="AN83" s="113" t="s">
        <v>184</v>
      </c>
      <c r="AR83" s="108" t="s">
        <v>200</v>
      </c>
      <c r="AS83" s="54"/>
      <c r="AT83" s="54"/>
      <c r="AU83" s="54"/>
      <c r="AV83" s="54"/>
      <c r="AW83" s="54"/>
      <c r="AX83" s="67"/>
      <c r="AY83" s="59">
        <v>200</v>
      </c>
      <c r="BB83" s="54" t="s">
        <v>234</v>
      </c>
      <c r="BC83" s="54"/>
      <c r="BD83" s="54"/>
      <c r="BE83" s="54"/>
      <c r="BF83" s="54"/>
      <c r="BG83" s="102">
        <v>5</v>
      </c>
      <c r="BH83" s="102"/>
      <c r="BI83" s="126"/>
      <c r="BL83" s="123" t="s">
        <v>239</v>
      </c>
      <c r="BM83" s="48"/>
      <c r="BN83" s="48"/>
      <c r="BO83" s="48"/>
      <c r="BP83" s="48"/>
      <c r="BQ83" s="48"/>
      <c r="BR83" s="59">
        <v>0</v>
      </c>
      <c r="BU83" s="81"/>
      <c r="BV83" s="48" t="s">
        <v>227</v>
      </c>
      <c r="BW83" s="54"/>
      <c r="BX83" s="54"/>
      <c r="BY83" s="54"/>
      <c r="BZ83" s="54"/>
      <c r="CA83" s="127">
        <v>0</v>
      </c>
      <c r="CB83" s="127"/>
      <c r="CC83" s="128"/>
    </row>
    <row r="84" spans="4:81">
      <c r="D84" s="133"/>
      <c r="E84" s="134"/>
      <c r="F84" s="134"/>
      <c r="G84" s="134"/>
      <c r="H84" s="134"/>
      <c r="I84" s="134"/>
      <c r="J84" s="134"/>
      <c r="K84" s="67"/>
      <c r="L84" s="67"/>
      <c r="M84" s="67"/>
      <c r="N84" s="67"/>
      <c r="O84" s="67"/>
      <c r="P84" s="67"/>
      <c r="Q84" s="67"/>
      <c r="R84" s="135"/>
      <c r="S84" s="135"/>
      <c r="T84" s="135"/>
      <c r="U84" s="113" t="s">
        <v>184</v>
      </c>
      <c r="W84" s="136"/>
      <c r="X84" s="137"/>
      <c r="Y84" s="137"/>
      <c r="Z84" s="137"/>
      <c r="AA84" s="137"/>
      <c r="AB84" s="137"/>
      <c r="AC84" s="137"/>
      <c r="AD84" s="138"/>
      <c r="AE84" s="138"/>
      <c r="AF84" s="138"/>
      <c r="AG84" s="138"/>
      <c r="AH84" s="138"/>
      <c r="AI84" s="138"/>
      <c r="AJ84" s="138"/>
      <c r="AK84" s="139" t="s">
        <v>236</v>
      </c>
      <c r="AL84" s="139"/>
      <c r="AM84" s="138"/>
      <c r="AN84" s="140"/>
      <c r="AR84" s="108"/>
      <c r="AS84" s="54"/>
      <c r="AT84" s="54"/>
      <c r="AU84" s="54"/>
      <c r="AV84" s="54"/>
      <c r="AW84" s="54"/>
      <c r="AX84" s="67"/>
      <c r="BB84" s="54"/>
      <c r="BC84" s="54"/>
      <c r="BD84" s="54"/>
      <c r="BE84" s="54"/>
      <c r="BF84" s="54"/>
      <c r="BG84" s="102"/>
      <c r="BH84" s="102"/>
      <c r="BI84" s="126"/>
      <c r="BL84" s="123"/>
      <c r="BM84" s="48"/>
      <c r="BN84" s="48"/>
      <c r="BO84" s="48"/>
      <c r="BP84" s="48"/>
      <c r="BQ84" s="48"/>
      <c r="BU84" s="81"/>
      <c r="BV84" s="54"/>
      <c r="BW84" s="54"/>
      <c r="BX84" s="54"/>
      <c r="BY84" s="54"/>
      <c r="BZ84" s="54"/>
      <c r="CA84" s="127"/>
      <c r="CB84" s="127"/>
      <c r="CC84" s="128"/>
    </row>
    <row r="85" spans="4:81">
      <c r="D85" s="136"/>
      <c r="E85" s="137"/>
      <c r="F85" s="137"/>
      <c r="G85" s="137"/>
      <c r="H85" s="137"/>
      <c r="I85" s="137"/>
      <c r="J85" s="137"/>
      <c r="K85" s="138"/>
      <c r="L85" s="138"/>
      <c r="M85" s="138"/>
      <c r="N85" s="138"/>
      <c r="O85" s="138"/>
      <c r="P85" s="138"/>
      <c r="Q85" s="138"/>
      <c r="R85" s="139" t="s">
        <v>236</v>
      </c>
      <c r="S85" s="139"/>
      <c r="T85" s="138"/>
      <c r="U85" s="140"/>
      <c r="W85" s="133" t="s">
        <v>211</v>
      </c>
      <c r="X85" s="134"/>
      <c r="Y85" s="134"/>
      <c r="Z85" s="134"/>
      <c r="AA85" s="134"/>
      <c r="AB85" s="134"/>
      <c r="AC85" s="134"/>
      <c r="AD85" s="67"/>
      <c r="AE85" s="67"/>
      <c r="AF85" s="67"/>
      <c r="AG85" s="67"/>
      <c r="AH85" s="67"/>
      <c r="AI85" s="67"/>
      <c r="AJ85" s="67"/>
      <c r="AK85" s="135">
        <v>10</v>
      </c>
      <c r="AL85" s="135"/>
      <c r="AM85" s="135"/>
      <c r="AN85" s="68"/>
      <c r="AR85" s="81"/>
      <c r="BI85" s="68"/>
      <c r="BL85" s="81"/>
      <c r="BU85" s="81"/>
      <c r="CC85" s="68"/>
    </row>
    <row r="86" spans="4:81">
      <c r="D86" s="133" t="s">
        <v>240</v>
      </c>
      <c r="E86" s="134"/>
      <c r="F86" s="134"/>
      <c r="G86" s="134"/>
      <c r="H86" s="134"/>
      <c r="I86" s="134"/>
      <c r="J86" s="134"/>
      <c r="K86" s="67"/>
      <c r="L86" s="67"/>
      <c r="M86" s="67"/>
      <c r="N86" s="67"/>
      <c r="O86" s="67"/>
      <c r="P86" s="67"/>
      <c r="Q86" s="67"/>
      <c r="R86" s="135">
        <v>10</v>
      </c>
      <c r="S86" s="135"/>
      <c r="T86" s="135"/>
      <c r="U86" s="68"/>
      <c r="W86" s="133"/>
      <c r="X86" s="134"/>
      <c r="Y86" s="134"/>
      <c r="Z86" s="134"/>
      <c r="AA86" s="134"/>
      <c r="AB86" s="134"/>
      <c r="AC86" s="134"/>
      <c r="AD86" s="67"/>
      <c r="AE86" s="67"/>
      <c r="AF86" s="67"/>
      <c r="AG86" s="67"/>
      <c r="AH86" s="67"/>
      <c r="AI86" s="67"/>
      <c r="AJ86" s="67"/>
      <c r="AK86" s="135"/>
      <c r="AL86" s="135"/>
      <c r="AM86" s="135"/>
      <c r="AN86" s="113" t="s">
        <v>184</v>
      </c>
      <c r="AR86" s="131" t="s">
        <v>232</v>
      </c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  <c r="BD86" s="55"/>
      <c r="BE86" s="55"/>
      <c r="BF86" s="55"/>
      <c r="BG86" s="55"/>
      <c r="BH86" s="55"/>
      <c r="BI86" s="132"/>
      <c r="BL86" s="123" t="s">
        <v>241</v>
      </c>
      <c r="BM86" s="48"/>
      <c r="BN86" s="48"/>
      <c r="BO86" s="48"/>
      <c r="BP86" s="48"/>
      <c r="BQ86" s="48"/>
      <c r="BR86" s="59">
        <v>0</v>
      </c>
      <c r="BU86" s="81"/>
      <c r="BV86" s="48" t="s">
        <v>227</v>
      </c>
      <c r="BW86" s="54"/>
      <c r="BX86" s="54"/>
      <c r="BY86" s="54"/>
      <c r="BZ86" s="54"/>
      <c r="CA86" s="127">
        <v>0</v>
      </c>
      <c r="CB86" s="127"/>
      <c r="CC86" s="128"/>
    </row>
    <row r="87" spans="4:81">
      <c r="D87" s="133"/>
      <c r="E87" s="134"/>
      <c r="F87" s="134"/>
      <c r="G87" s="134"/>
      <c r="H87" s="134"/>
      <c r="I87" s="134"/>
      <c r="J87" s="134"/>
      <c r="K87" s="67"/>
      <c r="L87" s="67"/>
      <c r="M87" s="67"/>
      <c r="N87" s="67"/>
      <c r="O87" s="67"/>
      <c r="P87" s="67"/>
      <c r="Q87" s="67"/>
      <c r="R87" s="135"/>
      <c r="S87" s="135"/>
      <c r="T87" s="135"/>
      <c r="U87" s="113" t="s">
        <v>184</v>
      </c>
      <c r="W87" s="136"/>
      <c r="X87" s="137"/>
      <c r="Y87" s="137"/>
      <c r="Z87" s="137"/>
      <c r="AA87" s="137"/>
      <c r="AB87" s="137"/>
      <c r="AC87" s="137"/>
      <c r="AD87" s="138"/>
      <c r="AE87" s="138"/>
      <c r="AF87" s="138"/>
      <c r="AG87" s="138"/>
      <c r="AH87" s="138"/>
      <c r="AI87" s="138"/>
      <c r="AJ87" s="138"/>
      <c r="AK87" s="139" t="s">
        <v>236</v>
      </c>
      <c r="AL87" s="139"/>
      <c r="AM87" s="138"/>
      <c r="AN87" s="140"/>
      <c r="AR87" s="133" t="s">
        <v>210</v>
      </c>
      <c r="AS87" s="134"/>
      <c r="AT87" s="134"/>
      <c r="AU87" s="134"/>
      <c r="AV87" s="134"/>
      <c r="AW87" s="134"/>
      <c r="AX87" s="134"/>
      <c r="AY87" s="77"/>
      <c r="AZ87" s="67"/>
      <c r="BA87" s="67"/>
      <c r="BB87" s="67"/>
      <c r="BC87" s="67"/>
      <c r="BD87" s="67"/>
      <c r="BE87" s="67"/>
      <c r="BF87" s="135">
        <v>10</v>
      </c>
      <c r="BG87" s="135"/>
      <c r="BH87" s="135"/>
      <c r="BI87" s="68"/>
      <c r="BL87" s="123"/>
      <c r="BM87" s="48"/>
      <c r="BN87" s="48"/>
      <c r="BO87" s="48"/>
      <c r="BP87" s="48"/>
      <c r="BQ87" s="48"/>
      <c r="BU87" s="81"/>
      <c r="BV87" s="54"/>
      <c r="BW87" s="54"/>
      <c r="BX87" s="54"/>
      <c r="BY87" s="54"/>
      <c r="BZ87" s="54"/>
      <c r="CA87" s="127"/>
      <c r="CB87" s="127"/>
      <c r="CC87" s="128"/>
    </row>
    <row r="88" spans="4:81">
      <c r="D88" s="136"/>
      <c r="E88" s="137"/>
      <c r="F88" s="137"/>
      <c r="G88" s="137"/>
      <c r="H88" s="137"/>
      <c r="I88" s="137"/>
      <c r="J88" s="137"/>
      <c r="K88" s="138"/>
      <c r="L88" s="138"/>
      <c r="M88" s="138"/>
      <c r="N88" s="138"/>
      <c r="O88" s="138"/>
      <c r="P88" s="138"/>
      <c r="Q88" s="138"/>
      <c r="R88" s="139" t="s">
        <v>236</v>
      </c>
      <c r="S88" s="139"/>
      <c r="T88" s="138"/>
      <c r="U88" s="140"/>
      <c r="W88" s="133" t="s">
        <v>213</v>
      </c>
      <c r="X88" s="134"/>
      <c r="Y88" s="134"/>
      <c r="Z88" s="134"/>
      <c r="AA88" s="134"/>
      <c r="AB88" s="134"/>
      <c r="AC88" s="134"/>
      <c r="AD88" s="67"/>
      <c r="AE88" s="67"/>
      <c r="AF88" s="67"/>
      <c r="AG88" s="67"/>
      <c r="AH88" s="67"/>
      <c r="AI88" s="67"/>
      <c r="AJ88" s="67"/>
      <c r="AK88" s="135">
        <v>10</v>
      </c>
      <c r="AL88" s="135"/>
      <c r="AM88" s="135"/>
      <c r="AN88" s="68"/>
      <c r="AR88" s="133"/>
      <c r="AS88" s="134"/>
      <c r="AT88" s="134"/>
      <c r="AU88" s="134"/>
      <c r="AV88" s="134"/>
      <c r="AW88" s="134"/>
      <c r="AX88" s="134"/>
      <c r="AY88" s="77"/>
      <c r="AZ88" s="67"/>
      <c r="BA88" s="67"/>
      <c r="BB88" s="67"/>
      <c r="BC88" s="67"/>
      <c r="BD88" s="67"/>
      <c r="BE88" s="67"/>
      <c r="BF88" s="135"/>
      <c r="BG88" s="135"/>
      <c r="BH88" s="135"/>
      <c r="BI88" s="113" t="s">
        <v>184</v>
      </c>
      <c r="BL88" s="141"/>
      <c r="BM88" s="96"/>
      <c r="BN88" s="96"/>
      <c r="BO88" s="96"/>
      <c r="BP88" s="96"/>
      <c r="BQ88" s="96"/>
      <c r="BR88" s="96"/>
      <c r="BS88" s="96"/>
      <c r="BT88" s="96"/>
      <c r="BU88" s="96"/>
      <c r="BV88" s="96"/>
      <c r="BW88" s="96"/>
      <c r="BX88" s="96"/>
      <c r="BY88" s="96"/>
      <c r="BZ88" s="96"/>
      <c r="CA88" s="96"/>
      <c r="CB88" s="96"/>
      <c r="CC88" s="142"/>
    </row>
    <row r="89" ht="27.75" spans="4:81">
      <c r="D89" s="133" t="s">
        <v>214</v>
      </c>
      <c r="E89" s="134"/>
      <c r="F89" s="134"/>
      <c r="G89" s="134"/>
      <c r="H89" s="134"/>
      <c r="I89" s="134"/>
      <c r="J89" s="134"/>
      <c r="K89" s="67"/>
      <c r="L89" s="67"/>
      <c r="M89" s="67"/>
      <c r="N89" s="67"/>
      <c r="O89" s="67"/>
      <c r="P89" s="67"/>
      <c r="Q89" s="67"/>
      <c r="R89" s="135">
        <v>10</v>
      </c>
      <c r="S89" s="135"/>
      <c r="T89" s="135"/>
      <c r="U89" s="68"/>
      <c r="W89" s="133"/>
      <c r="X89" s="134"/>
      <c r="Y89" s="134"/>
      <c r="Z89" s="134"/>
      <c r="AA89" s="134"/>
      <c r="AB89" s="134"/>
      <c r="AC89" s="134"/>
      <c r="AD89" s="67"/>
      <c r="AE89" s="67"/>
      <c r="AF89" s="67"/>
      <c r="AG89" s="67"/>
      <c r="AH89" s="67"/>
      <c r="AI89" s="67"/>
      <c r="AJ89" s="67"/>
      <c r="AK89" s="135"/>
      <c r="AL89" s="135"/>
      <c r="AM89" s="135"/>
      <c r="AN89" s="113" t="s">
        <v>184</v>
      </c>
      <c r="AR89" s="136"/>
      <c r="AS89" s="137"/>
      <c r="AT89" s="137"/>
      <c r="AU89" s="137"/>
      <c r="AV89" s="137"/>
      <c r="AW89" s="137"/>
      <c r="AX89" s="137"/>
      <c r="AY89" s="138"/>
      <c r="AZ89" s="138"/>
      <c r="BA89" s="138"/>
      <c r="BB89" s="138"/>
      <c r="BC89" s="138"/>
      <c r="BD89" s="138"/>
      <c r="BE89" s="138"/>
      <c r="BF89" s="139" t="s">
        <v>242</v>
      </c>
      <c r="BG89" s="139"/>
      <c r="BH89" s="139"/>
      <c r="BI89" s="140"/>
      <c r="BL89" s="143" t="s">
        <v>243</v>
      </c>
      <c r="BM89" s="144"/>
      <c r="BN89" s="144"/>
      <c r="BO89" s="144"/>
      <c r="BP89" s="144"/>
      <c r="BQ89" s="144"/>
      <c r="BR89" s="144"/>
      <c r="BS89" s="144"/>
      <c r="BT89" s="144"/>
      <c r="BU89" s="144"/>
      <c r="BV89" s="144">
        <f>(CA71+CA74+CA77+CA80+CA83+CA86)/76</f>
        <v>2434.21052631579</v>
      </c>
      <c r="BW89" s="144"/>
      <c r="BX89" s="144"/>
      <c r="BY89" s="144"/>
      <c r="BZ89" s="144"/>
      <c r="CA89" s="144"/>
      <c r="CB89" s="144"/>
      <c r="CC89" s="145"/>
    </row>
    <row r="90" ht="16" customHeight="1" spans="4:81">
      <c r="D90" s="133"/>
      <c r="E90" s="134"/>
      <c r="F90" s="134"/>
      <c r="G90" s="134"/>
      <c r="H90" s="134"/>
      <c r="I90" s="134"/>
      <c r="J90" s="134"/>
      <c r="K90" s="67"/>
      <c r="L90" s="67"/>
      <c r="M90" s="67"/>
      <c r="N90" s="67"/>
      <c r="O90" s="67"/>
      <c r="P90" s="67"/>
      <c r="Q90" s="67"/>
      <c r="R90" s="135"/>
      <c r="S90" s="135"/>
      <c r="T90" s="135"/>
      <c r="U90" s="113" t="s">
        <v>184</v>
      </c>
      <c r="W90" s="136"/>
      <c r="X90" s="137"/>
      <c r="Y90" s="137"/>
      <c r="Z90" s="137"/>
      <c r="AA90" s="137"/>
      <c r="AB90" s="137"/>
      <c r="AC90" s="137"/>
      <c r="AD90" s="138"/>
      <c r="AE90" s="138"/>
      <c r="AF90" s="138"/>
      <c r="AG90" s="138"/>
      <c r="AH90" s="138"/>
      <c r="AI90" s="138"/>
      <c r="AJ90" s="138"/>
      <c r="AK90" s="139" t="s">
        <v>236</v>
      </c>
      <c r="AL90" s="139"/>
      <c r="AM90" s="138"/>
      <c r="AN90" s="140"/>
      <c r="AR90" s="133" t="s">
        <v>211</v>
      </c>
      <c r="AS90" s="134"/>
      <c r="AT90" s="134"/>
      <c r="AU90" s="134"/>
      <c r="AV90" s="134"/>
      <c r="AW90" s="134"/>
      <c r="AX90" s="134"/>
      <c r="AY90" s="67"/>
      <c r="AZ90" s="67"/>
      <c r="BA90" s="67"/>
      <c r="BB90" s="67"/>
      <c r="BC90" s="67"/>
      <c r="BD90" s="67"/>
      <c r="BE90" s="67"/>
      <c r="BF90" s="135">
        <v>10</v>
      </c>
      <c r="BG90" s="135"/>
      <c r="BH90" s="135"/>
      <c r="BI90" s="68"/>
      <c r="BL90" s="146"/>
      <c r="BM90" s="147"/>
      <c r="BN90" s="147"/>
      <c r="BO90" s="147"/>
      <c r="BP90" s="147"/>
      <c r="BQ90" s="147"/>
      <c r="BR90" s="147"/>
      <c r="BS90" s="147"/>
      <c r="BT90" s="147"/>
      <c r="BU90" s="147"/>
      <c r="BV90" s="147"/>
      <c r="BW90" s="147"/>
      <c r="BX90" s="147"/>
      <c r="BY90" s="147"/>
      <c r="BZ90" s="147"/>
      <c r="CA90" s="147"/>
      <c r="CB90" s="147"/>
      <c r="CC90" s="148"/>
    </row>
    <row r="91" ht="16" customHeight="1" spans="4:81">
      <c r="D91" s="136"/>
      <c r="E91" s="137"/>
      <c r="F91" s="137"/>
      <c r="G91" s="137"/>
      <c r="H91" s="137"/>
      <c r="I91" s="137"/>
      <c r="J91" s="137"/>
      <c r="K91" s="138"/>
      <c r="L91" s="138"/>
      <c r="M91" s="138"/>
      <c r="N91" s="138"/>
      <c r="O91" s="138"/>
      <c r="P91" s="138"/>
      <c r="Q91" s="138"/>
      <c r="R91" s="139" t="s">
        <v>236</v>
      </c>
      <c r="S91" s="139"/>
      <c r="T91" s="138"/>
      <c r="U91" s="140"/>
      <c r="W91" s="133" t="s">
        <v>240</v>
      </c>
      <c r="X91" s="134"/>
      <c r="Y91" s="134"/>
      <c r="Z91" s="134"/>
      <c r="AA91" s="134"/>
      <c r="AB91" s="134"/>
      <c r="AC91" s="134"/>
      <c r="AD91" s="67"/>
      <c r="AE91" s="67"/>
      <c r="AF91" s="67"/>
      <c r="AG91" s="67"/>
      <c r="AH91" s="67"/>
      <c r="AI91" s="67"/>
      <c r="AJ91" s="67"/>
      <c r="AK91" s="135">
        <v>10</v>
      </c>
      <c r="AL91" s="135"/>
      <c r="AM91" s="135"/>
      <c r="AN91" s="68"/>
      <c r="AR91" s="133"/>
      <c r="AS91" s="134"/>
      <c r="AT91" s="134"/>
      <c r="AU91" s="134"/>
      <c r="AV91" s="134"/>
      <c r="AW91" s="134"/>
      <c r="AX91" s="134"/>
      <c r="AY91" s="67"/>
      <c r="AZ91" s="67"/>
      <c r="BA91" s="67"/>
      <c r="BB91" s="67"/>
      <c r="BC91" s="67"/>
      <c r="BD91" s="67"/>
      <c r="BE91" s="67"/>
      <c r="BF91" s="135"/>
      <c r="BG91" s="135"/>
      <c r="BH91" s="135"/>
      <c r="BI91" s="113" t="s">
        <v>184</v>
      </c>
      <c r="BL91" s="149"/>
      <c r="BM91" s="150"/>
      <c r="BN91" s="150"/>
      <c r="BO91" s="150"/>
      <c r="BP91" s="150"/>
      <c r="BQ91" s="150"/>
      <c r="BR91" s="150"/>
      <c r="BS91" s="150"/>
      <c r="BT91" s="150"/>
      <c r="BU91" s="150"/>
      <c r="BV91" s="150"/>
      <c r="BW91" s="150"/>
      <c r="BX91" s="150"/>
      <c r="BY91" s="150"/>
      <c r="BZ91" s="150"/>
      <c r="CA91" s="150"/>
      <c r="CB91" s="150"/>
      <c r="CC91" s="151"/>
    </row>
    <row r="92" spans="4:81">
      <c r="D92" s="133" t="s">
        <v>244</v>
      </c>
      <c r="E92" s="134"/>
      <c r="F92" s="134"/>
      <c r="G92" s="134"/>
      <c r="H92" s="134"/>
      <c r="I92" s="134"/>
      <c r="J92" s="134"/>
      <c r="K92" s="67"/>
      <c r="L92" s="67"/>
      <c r="M92" s="67"/>
      <c r="N92" s="67"/>
      <c r="O92" s="67"/>
      <c r="P92" s="67"/>
      <c r="Q92" s="67"/>
      <c r="R92" s="135">
        <v>10</v>
      </c>
      <c r="S92" s="135"/>
      <c r="T92" s="135"/>
      <c r="U92" s="68"/>
      <c r="W92" s="133"/>
      <c r="X92" s="134"/>
      <c r="Y92" s="134"/>
      <c r="Z92" s="134"/>
      <c r="AA92" s="134"/>
      <c r="AB92" s="134"/>
      <c r="AC92" s="134"/>
      <c r="AD92" s="67"/>
      <c r="AE92" s="67"/>
      <c r="AF92" s="67"/>
      <c r="AG92" s="67"/>
      <c r="AH92" s="67"/>
      <c r="AI92" s="67"/>
      <c r="AJ92" s="67"/>
      <c r="AK92" s="135"/>
      <c r="AL92" s="135"/>
      <c r="AM92" s="135"/>
      <c r="AN92" s="113" t="s">
        <v>184</v>
      </c>
      <c r="AR92" s="136"/>
      <c r="AS92" s="137"/>
      <c r="AT92" s="137"/>
      <c r="AU92" s="137"/>
      <c r="AV92" s="137"/>
      <c r="AW92" s="137"/>
      <c r="AX92" s="137"/>
      <c r="AY92" s="138"/>
      <c r="AZ92" s="138"/>
      <c r="BA92" s="138"/>
      <c r="BB92" s="138"/>
      <c r="BC92" s="138"/>
      <c r="BD92" s="138"/>
      <c r="BE92" s="138"/>
      <c r="BF92" s="139" t="s">
        <v>242</v>
      </c>
      <c r="BG92" s="139"/>
      <c r="BH92" s="139"/>
      <c r="BI92" s="140"/>
      <c r="BL92" s="152" t="s">
        <v>245</v>
      </c>
      <c r="BM92" s="86"/>
      <c r="BN92" s="86"/>
      <c r="BO92" s="86"/>
      <c r="BP92" s="86"/>
      <c r="BQ92" s="86"/>
      <c r="CC92" s="68"/>
    </row>
    <row r="93" spans="4:81">
      <c r="D93" s="133"/>
      <c r="E93" s="134"/>
      <c r="F93" s="134"/>
      <c r="G93" s="134"/>
      <c r="H93" s="134"/>
      <c r="I93" s="134"/>
      <c r="J93" s="134"/>
      <c r="K93" s="67"/>
      <c r="L93" s="67"/>
      <c r="M93" s="67"/>
      <c r="N93" s="67"/>
      <c r="O93" s="67"/>
      <c r="P93" s="67"/>
      <c r="Q93" s="67"/>
      <c r="R93" s="135"/>
      <c r="S93" s="135"/>
      <c r="T93" s="135"/>
      <c r="U93" s="113" t="s">
        <v>184</v>
      </c>
      <c r="W93" s="136"/>
      <c r="X93" s="137"/>
      <c r="Y93" s="137"/>
      <c r="Z93" s="137"/>
      <c r="AA93" s="137"/>
      <c r="AB93" s="137"/>
      <c r="AC93" s="137"/>
      <c r="AD93" s="138"/>
      <c r="AE93" s="138"/>
      <c r="AF93" s="138"/>
      <c r="AG93" s="138"/>
      <c r="AH93" s="138"/>
      <c r="AI93" s="138"/>
      <c r="AJ93" s="138"/>
      <c r="AK93" s="139" t="s">
        <v>236</v>
      </c>
      <c r="AL93" s="139"/>
      <c r="AM93" s="138"/>
      <c r="AN93" s="140"/>
      <c r="AR93" s="133" t="s">
        <v>213</v>
      </c>
      <c r="AS93" s="134"/>
      <c r="AT93" s="134"/>
      <c r="AU93" s="134"/>
      <c r="AV93" s="134"/>
      <c r="AW93" s="134"/>
      <c r="AX93" s="134"/>
      <c r="AY93" s="67"/>
      <c r="AZ93" s="67"/>
      <c r="BA93" s="67"/>
      <c r="BB93" s="67"/>
      <c r="BC93" s="67"/>
      <c r="BD93" s="67"/>
      <c r="BE93" s="67"/>
      <c r="BF93" s="135">
        <v>10</v>
      </c>
      <c r="BG93" s="135"/>
      <c r="BH93" s="135"/>
      <c r="BI93" s="68"/>
      <c r="BL93" s="81"/>
      <c r="CC93" s="68"/>
    </row>
    <row r="94" spans="4:81">
      <c r="D94" s="136"/>
      <c r="E94" s="137"/>
      <c r="F94" s="137"/>
      <c r="G94" s="137"/>
      <c r="H94" s="137"/>
      <c r="I94" s="137"/>
      <c r="J94" s="137"/>
      <c r="K94" s="138"/>
      <c r="L94" s="138"/>
      <c r="M94" s="138"/>
      <c r="N94" s="138"/>
      <c r="O94" s="138"/>
      <c r="P94" s="138"/>
      <c r="Q94" s="138"/>
      <c r="R94" s="139" t="s">
        <v>236</v>
      </c>
      <c r="S94" s="139"/>
      <c r="T94" s="138"/>
      <c r="U94" s="140"/>
      <c r="W94" s="133" t="s">
        <v>214</v>
      </c>
      <c r="X94" s="134"/>
      <c r="Y94" s="134"/>
      <c r="Z94" s="134"/>
      <c r="AA94" s="134"/>
      <c r="AB94" s="134"/>
      <c r="AC94" s="134"/>
      <c r="AD94" s="67"/>
      <c r="AE94" s="67"/>
      <c r="AF94" s="67"/>
      <c r="AG94" s="67"/>
      <c r="AH94" s="67"/>
      <c r="AI94" s="67"/>
      <c r="AJ94" s="67"/>
      <c r="AK94" s="135">
        <v>10</v>
      </c>
      <c r="AL94" s="135"/>
      <c r="AM94" s="135"/>
      <c r="AN94" s="68"/>
      <c r="AR94" s="133"/>
      <c r="AS94" s="134"/>
      <c r="AT94" s="134"/>
      <c r="AU94" s="134"/>
      <c r="AV94" s="134"/>
      <c r="AW94" s="134"/>
      <c r="AX94" s="134"/>
      <c r="AY94" s="67"/>
      <c r="AZ94" s="67"/>
      <c r="BA94" s="67"/>
      <c r="BB94" s="67"/>
      <c r="BC94" s="67"/>
      <c r="BD94" s="67"/>
      <c r="BE94" s="67"/>
      <c r="BF94" s="135"/>
      <c r="BG94" s="135"/>
      <c r="BH94" s="135"/>
      <c r="BI94" s="113" t="s">
        <v>184</v>
      </c>
      <c r="BL94" s="123" t="s">
        <v>246</v>
      </c>
      <c r="BM94" s="48"/>
      <c r="BN94" s="48"/>
      <c r="BO94" s="48"/>
      <c r="BP94" s="48"/>
      <c r="BQ94" s="48"/>
      <c r="BR94" s="59">
        <v>10</v>
      </c>
      <c r="BU94" s="123" t="s">
        <v>247</v>
      </c>
      <c r="BV94" s="48"/>
      <c r="BW94" s="48"/>
      <c r="BX94" s="48"/>
      <c r="BY94" s="48"/>
      <c r="BZ94" s="48"/>
      <c r="CA94" s="59">
        <v>30000</v>
      </c>
      <c r="CC94" s="68"/>
    </row>
    <row r="95" spans="4:81">
      <c r="D95" s="81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8"/>
      <c r="W95" s="133"/>
      <c r="X95" s="134"/>
      <c r="Y95" s="134"/>
      <c r="Z95" s="134"/>
      <c r="AA95" s="134"/>
      <c r="AB95" s="134"/>
      <c r="AC95" s="134"/>
      <c r="AD95" s="67"/>
      <c r="AE95" s="67"/>
      <c r="AF95" s="67"/>
      <c r="AG95" s="67"/>
      <c r="AH95" s="67"/>
      <c r="AI95" s="67"/>
      <c r="AJ95" s="67"/>
      <c r="AK95" s="135"/>
      <c r="AL95" s="135"/>
      <c r="AM95" s="135"/>
      <c r="AN95" s="113" t="s">
        <v>184</v>
      </c>
      <c r="AR95" s="136"/>
      <c r="AS95" s="137"/>
      <c r="AT95" s="137"/>
      <c r="AU95" s="137"/>
      <c r="AV95" s="137"/>
      <c r="AW95" s="137"/>
      <c r="AX95" s="137"/>
      <c r="AY95" s="138"/>
      <c r="AZ95" s="138"/>
      <c r="BA95" s="138"/>
      <c r="BB95" s="138"/>
      <c r="BC95" s="138"/>
      <c r="BD95" s="138"/>
      <c r="BE95" s="138"/>
      <c r="BF95" s="139" t="s">
        <v>242</v>
      </c>
      <c r="BG95" s="139"/>
      <c r="BH95" s="139"/>
      <c r="BI95" s="140"/>
      <c r="BL95" s="123"/>
      <c r="BM95" s="48"/>
      <c r="BN95" s="48"/>
      <c r="BO95" s="48"/>
      <c r="BP95" s="48"/>
      <c r="BQ95" s="48"/>
      <c r="BU95" s="123"/>
      <c r="BV95" s="48"/>
      <c r="BW95" s="48"/>
      <c r="BX95" s="48"/>
      <c r="BY95" s="48"/>
      <c r="BZ95" s="48"/>
      <c r="CC95" s="68"/>
    </row>
    <row r="96" ht="17.25" spans="4:81">
      <c r="D96" s="83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84"/>
      <c r="W96" s="136"/>
      <c r="X96" s="137"/>
      <c r="Y96" s="137"/>
      <c r="Z96" s="137"/>
      <c r="AA96" s="137"/>
      <c r="AB96" s="137"/>
      <c r="AC96" s="137"/>
      <c r="AD96" s="138"/>
      <c r="AE96" s="138"/>
      <c r="AF96" s="138"/>
      <c r="AG96" s="138"/>
      <c r="AH96" s="138"/>
      <c r="AI96" s="138"/>
      <c r="AJ96" s="138"/>
      <c r="AK96" s="139" t="s">
        <v>236</v>
      </c>
      <c r="AL96" s="139"/>
      <c r="AM96" s="138"/>
      <c r="AN96" s="140"/>
      <c r="AR96" s="133" t="s">
        <v>240</v>
      </c>
      <c r="AS96" s="134"/>
      <c r="AT96" s="134"/>
      <c r="AU96" s="134"/>
      <c r="AV96" s="134"/>
      <c r="AW96" s="134"/>
      <c r="AX96" s="134"/>
      <c r="AY96" s="67"/>
      <c r="AZ96" s="67"/>
      <c r="BA96" s="67"/>
      <c r="BB96" s="67"/>
      <c r="BC96" s="67"/>
      <c r="BD96" s="67"/>
      <c r="BE96" s="67"/>
      <c r="BF96" s="135">
        <v>10</v>
      </c>
      <c r="BG96" s="135"/>
      <c r="BH96" s="135"/>
      <c r="BI96" s="68"/>
      <c r="BL96" s="81"/>
      <c r="CC96" s="68"/>
    </row>
    <row r="97" spans="23:81">
      <c r="W97" s="133" t="s">
        <v>244</v>
      </c>
      <c r="X97" s="134"/>
      <c r="Y97" s="134"/>
      <c r="Z97" s="134"/>
      <c r="AA97" s="134"/>
      <c r="AB97" s="134"/>
      <c r="AC97" s="134"/>
      <c r="AD97" s="67"/>
      <c r="AE97" s="67"/>
      <c r="AF97" s="67"/>
      <c r="AG97" s="67"/>
      <c r="AH97" s="67"/>
      <c r="AI97" s="67"/>
      <c r="AJ97" s="67"/>
      <c r="AK97" s="135">
        <v>10</v>
      </c>
      <c r="AL97" s="135"/>
      <c r="AM97" s="135"/>
      <c r="AN97" s="68"/>
      <c r="AR97" s="133"/>
      <c r="AS97" s="134"/>
      <c r="AT97" s="134"/>
      <c r="AU97" s="134"/>
      <c r="AV97" s="134"/>
      <c r="AW97" s="134"/>
      <c r="AX97" s="134"/>
      <c r="AY97" s="67"/>
      <c r="AZ97" s="67"/>
      <c r="BA97" s="67"/>
      <c r="BB97" s="67"/>
      <c r="BC97" s="67"/>
      <c r="BD97" s="67"/>
      <c r="BE97" s="67"/>
      <c r="BF97" s="135"/>
      <c r="BG97" s="135"/>
      <c r="BH97" s="135"/>
      <c r="BI97" s="113" t="s">
        <v>184</v>
      </c>
      <c r="BL97" s="123" t="s">
        <v>248</v>
      </c>
      <c r="BM97" s="48"/>
      <c r="BN97" s="48"/>
      <c r="BO97" s="48"/>
      <c r="BP97" s="48"/>
      <c r="BQ97" s="48"/>
      <c r="BR97" s="59">
        <f>CA94/BR94</f>
        <v>3000</v>
      </c>
      <c r="BU97" s="123" t="s">
        <v>38</v>
      </c>
      <c r="BV97" s="48"/>
      <c r="BW97" s="48"/>
      <c r="BX97" s="48"/>
      <c r="BY97" s="48"/>
      <c r="BZ97" s="48"/>
      <c r="CA97" s="153">
        <f>BR94/(AA75+AF75)</f>
        <v>0.125</v>
      </c>
      <c r="CB97" s="153"/>
      <c r="CC97" s="154"/>
    </row>
    <row r="98" spans="23:81">
      <c r="W98" s="133"/>
      <c r="X98" s="134"/>
      <c r="Y98" s="134"/>
      <c r="Z98" s="134"/>
      <c r="AA98" s="134"/>
      <c r="AB98" s="134"/>
      <c r="AC98" s="134"/>
      <c r="AD98" s="67"/>
      <c r="AE98" s="67"/>
      <c r="AF98" s="67"/>
      <c r="AG98" s="67"/>
      <c r="AH98" s="67"/>
      <c r="AI98" s="67"/>
      <c r="AJ98" s="67"/>
      <c r="AK98" s="135"/>
      <c r="AL98" s="135"/>
      <c r="AM98" s="135"/>
      <c r="AN98" s="113" t="s">
        <v>184</v>
      </c>
      <c r="AR98" s="136"/>
      <c r="AS98" s="137"/>
      <c r="AT98" s="137"/>
      <c r="AU98" s="137"/>
      <c r="AV98" s="137"/>
      <c r="AW98" s="137"/>
      <c r="AX98" s="137"/>
      <c r="AY98" s="138"/>
      <c r="AZ98" s="138"/>
      <c r="BA98" s="138"/>
      <c r="BB98" s="138"/>
      <c r="BC98" s="138"/>
      <c r="BD98" s="138"/>
      <c r="BE98" s="138"/>
      <c r="BF98" s="139" t="s">
        <v>242</v>
      </c>
      <c r="BG98" s="139"/>
      <c r="BH98" s="139"/>
      <c r="BI98" s="140"/>
      <c r="BL98" s="123"/>
      <c r="BM98" s="48"/>
      <c r="BN98" s="48"/>
      <c r="BO98" s="48"/>
      <c r="BP98" s="48"/>
      <c r="BQ98" s="48"/>
      <c r="BU98" s="123"/>
      <c r="BV98" s="48"/>
      <c r="BW98" s="48"/>
      <c r="BX98" s="48"/>
      <c r="BY98" s="48"/>
      <c r="BZ98" s="48"/>
      <c r="CA98" s="153"/>
      <c r="CB98" s="153"/>
      <c r="CC98" s="154"/>
    </row>
    <row r="99" spans="23:81">
      <c r="W99" s="136"/>
      <c r="X99" s="137"/>
      <c r="Y99" s="137"/>
      <c r="Z99" s="137"/>
      <c r="AA99" s="137"/>
      <c r="AB99" s="137"/>
      <c r="AC99" s="137"/>
      <c r="AD99" s="138"/>
      <c r="AE99" s="138"/>
      <c r="AF99" s="138"/>
      <c r="AG99" s="138"/>
      <c r="AH99" s="138"/>
      <c r="AI99" s="138"/>
      <c r="AJ99" s="138"/>
      <c r="AK99" s="139" t="s">
        <v>236</v>
      </c>
      <c r="AL99" s="139"/>
      <c r="AM99" s="138"/>
      <c r="AN99" s="140"/>
      <c r="AR99" s="133" t="s">
        <v>214</v>
      </c>
      <c r="AS99" s="134"/>
      <c r="AT99" s="134"/>
      <c r="AU99" s="134"/>
      <c r="AV99" s="134"/>
      <c r="AW99" s="134"/>
      <c r="AX99" s="134"/>
      <c r="AY99" s="67"/>
      <c r="AZ99" s="67"/>
      <c r="BA99" s="67"/>
      <c r="BB99" s="67"/>
      <c r="BC99" s="67"/>
      <c r="BD99" s="67"/>
      <c r="BE99" s="67"/>
      <c r="BF99" s="135">
        <v>10</v>
      </c>
      <c r="BG99" s="135"/>
      <c r="BH99" s="135"/>
      <c r="BI99" s="68"/>
      <c r="BL99" s="81"/>
      <c r="CC99" s="68"/>
    </row>
    <row r="100" spans="23:81">
      <c r="W100" s="81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8"/>
      <c r="AR100" s="133"/>
      <c r="AS100" s="134"/>
      <c r="AT100" s="134"/>
      <c r="AU100" s="134"/>
      <c r="AV100" s="134"/>
      <c r="AW100" s="134"/>
      <c r="AX100" s="134"/>
      <c r="AY100" s="67"/>
      <c r="AZ100" s="67"/>
      <c r="BA100" s="67"/>
      <c r="BB100" s="67"/>
      <c r="BC100" s="67"/>
      <c r="BD100" s="67"/>
      <c r="BE100" s="67"/>
      <c r="BF100" s="135"/>
      <c r="BG100" s="135"/>
      <c r="BH100" s="135"/>
      <c r="BI100" s="113" t="s">
        <v>184</v>
      </c>
      <c r="BL100" s="131" t="s">
        <v>249</v>
      </c>
      <c r="BM100" s="55"/>
      <c r="BN100" s="55"/>
      <c r="BO100" s="55"/>
      <c r="BP100" s="55"/>
      <c r="BQ100" s="55"/>
      <c r="BR100" s="55"/>
      <c r="BS100" s="55"/>
      <c r="BT100" s="55"/>
      <c r="BU100" s="55"/>
      <c r="BV100" s="55"/>
      <c r="BW100" s="55"/>
      <c r="BX100" s="55"/>
      <c r="BY100" s="55"/>
      <c r="BZ100" s="55"/>
      <c r="CA100" s="55"/>
      <c r="CB100" s="55"/>
      <c r="CC100" s="132"/>
    </row>
    <row r="101" ht="17.25" spans="23:81">
      <c r="W101" s="83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  <c r="AM101" s="106"/>
      <c r="AN101" s="84"/>
      <c r="AR101" s="136"/>
      <c r="AS101" s="137"/>
      <c r="AT101" s="137"/>
      <c r="AU101" s="137"/>
      <c r="AV101" s="137"/>
      <c r="AW101" s="137"/>
      <c r="AX101" s="137"/>
      <c r="AY101" s="138"/>
      <c r="AZ101" s="138"/>
      <c r="BA101" s="138"/>
      <c r="BB101" s="138"/>
      <c r="BC101" s="138"/>
      <c r="BD101" s="138"/>
      <c r="BE101" s="138"/>
      <c r="BF101" s="139" t="s">
        <v>242</v>
      </c>
      <c r="BG101" s="139"/>
      <c r="BH101" s="139"/>
      <c r="BI101" s="140"/>
      <c r="BL101" s="133" t="s">
        <v>210</v>
      </c>
      <c r="BM101" s="134"/>
      <c r="BN101" s="134"/>
      <c r="BO101" s="134"/>
      <c r="BP101" s="134"/>
      <c r="BQ101" s="134"/>
      <c r="BR101" s="134"/>
      <c r="BS101" s="77"/>
      <c r="BT101" s="67"/>
      <c r="BU101" s="67"/>
      <c r="BV101" s="67"/>
      <c r="BW101" s="67"/>
      <c r="BX101" s="67"/>
      <c r="BY101" s="67"/>
      <c r="BZ101" s="135"/>
      <c r="CA101" s="135"/>
      <c r="CB101" s="135"/>
      <c r="CC101" s="68"/>
    </row>
    <row r="102" spans="23:81">
      <c r="AR102" s="133" t="s">
        <v>244</v>
      </c>
      <c r="AS102" s="134"/>
      <c r="AT102" s="134"/>
      <c r="AU102" s="134"/>
      <c r="AV102" s="134"/>
      <c r="AW102" s="134"/>
      <c r="AX102" s="134"/>
      <c r="AY102" s="67"/>
      <c r="AZ102" s="67"/>
      <c r="BA102" s="67"/>
      <c r="BB102" s="67"/>
      <c r="BC102" s="67"/>
      <c r="BD102" s="67"/>
      <c r="BE102" s="67"/>
      <c r="BF102" s="135">
        <v>10</v>
      </c>
      <c r="BG102" s="135"/>
      <c r="BH102" s="135"/>
      <c r="BI102" s="68"/>
      <c r="BL102" s="133"/>
      <c r="BM102" s="134"/>
      <c r="BN102" s="134"/>
      <c r="BO102" s="134"/>
      <c r="BP102" s="134"/>
      <c r="BQ102" s="134"/>
      <c r="BR102" s="134"/>
      <c r="BS102" s="77"/>
      <c r="BT102" s="67"/>
      <c r="BU102" s="67"/>
      <c r="BV102" s="67"/>
      <c r="BW102" s="67"/>
      <c r="BX102" s="67"/>
      <c r="BY102" s="67"/>
      <c r="BZ102" s="135"/>
      <c r="CA102" s="135"/>
      <c r="CB102" s="135"/>
      <c r="CC102" s="113" t="s">
        <v>184</v>
      </c>
    </row>
    <row r="103" spans="23:81">
      <c r="AR103" s="133"/>
      <c r="AS103" s="134"/>
      <c r="AT103" s="134"/>
      <c r="AU103" s="134"/>
      <c r="AV103" s="134"/>
      <c r="AW103" s="134"/>
      <c r="AX103" s="134"/>
      <c r="AY103" s="67"/>
      <c r="AZ103" s="67"/>
      <c r="BA103" s="67"/>
      <c r="BB103" s="67"/>
      <c r="BC103" s="67"/>
      <c r="BD103" s="67"/>
      <c r="BE103" s="67"/>
      <c r="BF103" s="135"/>
      <c r="BG103" s="135"/>
      <c r="BH103" s="135"/>
      <c r="BI103" s="113" t="s">
        <v>184</v>
      </c>
      <c r="BL103" s="136"/>
      <c r="BM103" s="137"/>
      <c r="BN103" s="137"/>
      <c r="BO103" s="137"/>
      <c r="BP103" s="137"/>
      <c r="BQ103" s="137"/>
      <c r="BR103" s="137"/>
      <c r="BS103" s="138"/>
      <c r="BT103" s="138"/>
      <c r="BU103" s="138"/>
      <c r="BV103" s="138"/>
      <c r="BW103" s="138"/>
      <c r="BX103" s="138"/>
      <c r="BY103" s="138"/>
      <c r="BZ103" s="139"/>
      <c r="CA103" s="139"/>
      <c r="CB103" s="139"/>
      <c r="CC103" s="140"/>
    </row>
    <row r="104" spans="23:81">
      <c r="AR104" s="136"/>
      <c r="AS104" s="137"/>
      <c r="AT104" s="137"/>
      <c r="AU104" s="137"/>
      <c r="AV104" s="137"/>
      <c r="AW104" s="137"/>
      <c r="AX104" s="137"/>
      <c r="AY104" s="138"/>
      <c r="AZ104" s="138"/>
      <c r="BA104" s="138"/>
      <c r="BB104" s="138"/>
      <c r="BC104" s="138"/>
      <c r="BD104" s="138"/>
      <c r="BE104" s="138"/>
      <c r="BF104" s="139" t="s">
        <v>242</v>
      </c>
      <c r="BG104" s="139"/>
      <c r="BH104" s="139"/>
      <c r="BI104" s="140"/>
      <c r="BL104" s="133" t="s">
        <v>211</v>
      </c>
      <c r="BM104" s="134"/>
      <c r="BN104" s="134"/>
      <c r="BO104" s="134"/>
      <c r="BP104" s="134"/>
      <c r="BQ104" s="134"/>
      <c r="BR104" s="134"/>
      <c r="BS104" s="67"/>
      <c r="BT104" s="67"/>
      <c r="BU104" s="67"/>
      <c r="BV104" s="67"/>
      <c r="BW104" s="67"/>
      <c r="BX104" s="67"/>
      <c r="BY104" s="67"/>
      <c r="BZ104" s="135"/>
      <c r="CA104" s="135"/>
      <c r="CB104" s="135"/>
      <c r="CC104" s="68"/>
    </row>
    <row r="105" spans="23:81">
      <c r="AR105" s="81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8"/>
      <c r="BL105" s="133"/>
      <c r="BM105" s="134"/>
      <c r="BN105" s="134"/>
      <c r="BO105" s="134"/>
      <c r="BP105" s="134"/>
      <c r="BQ105" s="134"/>
      <c r="BR105" s="134"/>
      <c r="BS105" s="67"/>
      <c r="BT105" s="67"/>
      <c r="BU105" s="67"/>
      <c r="BV105" s="67"/>
      <c r="BW105" s="67"/>
      <c r="BX105" s="67"/>
      <c r="BY105" s="67"/>
      <c r="BZ105" s="135"/>
      <c r="CA105" s="135"/>
      <c r="CB105" s="135"/>
      <c r="CC105" s="113" t="s">
        <v>184</v>
      </c>
    </row>
    <row r="106" ht="17.25" spans="23:81">
      <c r="AR106" s="83"/>
      <c r="AS106" s="106"/>
      <c r="AT106" s="106"/>
      <c r="AU106" s="106"/>
      <c r="AV106" s="106"/>
      <c r="AW106" s="106"/>
      <c r="AX106" s="106"/>
      <c r="AY106" s="106"/>
      <c r="AZ106" s="106"/>
      <c r="BA106" s="106"/>
      <c r="BB106" s="106"/>
      <c r="BC106" s="106"/>
      <c r="BD106" s="106"/>
      <c r="BE106" s="106"/>
      <c r="BF106" s="106"/>
      <c r="BG106" s="106"/>
      <c r="BH106" s="106"/>
      <c r="BI106" s="84"/>
      <c r="BL106" s="136"/>
      <c r="BM106" s="137"/>
      <c r="BN106" s="137"/>
      <c r="BO106" s="137"/>
      <c r="BP106" s="137"/>
      <c r="BQ106" s="137"/>
      <c r="BR106" s="137"/>
      <c r="BS106" s="138"/>
      <c r="BT106" s="138"/>
      <c r="BU106" s="138"/>
      <c r="BV106" s="138"/>
      <c r="BW106" s="138"/>
      <c r="BX106" s="138"/>
      <c r="BY106" s="138"/>
      <c r="BZ106" s="139"/>
      <c r="CA106" s="139"/>
      <c r="CB106" s="139"/>
      <c r="CC106" s="140"/>
    </row>
    <row r="107" spans="23:81">
      <c r="BL107" s="133" t="s">
        <v>213</v>
      </c>
      <c r="BM107" s="134"/>
      <c r="BN107" s="134"/>
      <c r="BO107" s="134"/>
      <c r="BP107" s="134"/>
      <c r="BQ107" s="134"/>
      <c r="BR107" s="134"/>
      <c r="BS107" s="67"/>
      <c r="BT107" s="67"/>
      <c r="BU107" s="67"/>
      <c r="BV107" s="67"/>
      <c r="BW107" s="67"/>
      <c r="BX107" s="67"/>
      <c r="BY107" s="67"/>
      <c r="BZ107" s="135"/>
      <c r="CA107" s="135"/>
      <c r="CB107" s="135"/>
      <c r="CC107" s="68"/>
    </row>
    <row r="108" spans="23:81">
      <c r="BL108" s="133"/>
      <c r="BM108" s="134"/>
      <c r="BN108" s="134"/>
      <c r="BO108" s="134"/>
      <c r="BP108" s="134"/>
      <c r="BQ108" s="134"/>
      <c r="BR108" s="134"/>
      <c r="BS108" s="67"/>
      <c r="BT108" s="67"/>
      <c r="BU108" s="67"/>
      <c r="BV108" s="67"/>
      <c r="BW108" s="67"/>
      <c r="BX108" s="67"/>
      <c r="BY108" s="67"/>
      <c r="BZ108" s="135"/>
      <c r="CA108" s="135"/>
      <c r="CB108" s="135"/>
      <c r="CC108" s="113" t="s">
        <v>184</v>
      </c>
    </row>
    <row r="109" spans="23:81">
      <c r="BL109" s="136"/>
      <c r="BM109" s="137"/>
      <c r="BN109" s="137"/>
      <c r="BO109" s="137"/>
      <c r="BP109" s="137"/>
      <c r="BQ109" s="137"/>
      <c r="BR109" s="137"/>
      <c r="BS109" s="138"/>
      <c r="BT109" s="138"/>
      <c r="BU109" s="138"/>
      <c r="BV109" s="138"/>
      <c r="BW109" s="138"/>
      <c r="BX109" s="138"/>
      <c r="BY109" s="138"/>
      <c r="BZ109" s="139"/>
      <c r="CA109" s="139"/>
      <c r="CB109" s="139"/>
      <c r="CC109" s="140"/>
    </row>
    <row r="110" spans="23:81">
      <c r="BL110" s="133" t="s">
        <v>240</v>
      </c>
      <c r="BM110" s="134"/>
      <c r="BN110" s="134"/>
      <c r="BO110" s="134"/>
      <c r="BP110" s="134"/>
      <c r="BQ110" s="134"/>
      <c r="BR110" s="134"/>
      <c r="BS110" s="67"/>
      <c r="BT110" s="67"/>
      <c r="BU110" s="67"/>
      <c r="BV110" s="67"/>
      <c r="BW110" s="67"/>
      <c r="BX110" s="67"/>
      <c r="BY110" s="67"/>
      <c r="BZ110" s="135"/>
      <c r="CA110" s="135"/>
      <c r="CB110" s="135"/>
      <c r="CC110" s="68"/>
    </row>
    <row r="111" spans="23:81">
      <c r="BL111" s="133"/>
      <c r="BM111" s="134"/>
      <c r="BN111" s="134"/>
      <c r="BO111" s="134"/>
      <c r="BP111" s="134"/>
      <c r="BQ111" s="134"/>
      <c r="BR111" s="134"/>
      <c r="BS111" s="67"/>
      <c r="BT111" s="67"/>
      <c r="BU111" s="67"/>
      <c r="BV111" s="67"/>
      <c r="BW111" s="67"/>
      <c r="BX111" s="67"/>
      <c r="BY111" s="67"/>
      <c r="BZ111" s="135"/>
      <c r="CA111" s="135"/>
      <c r="CB111" s="135"/>
      <c r="CC111" s="113" t="s">
        <v>184</v>
      </c>
    </row>
    <row r="112" spans="23:81">
      <c r="BL112" s="136"/>
      <c r="BM112" s="137"/>
      <c r="BN112" s="137"/>
      <c r="BO112" s="137"/>
      <c r="BP112" s="137"/>
      <c r="BQ112" s="137"/>
      <c r="BR112" s="137"/>
      <c r="BS112" s="138"/>
      <c r="BT112" s="138"/>
      <c r="BU112" s="138"/>
      <c r="BV112" s="138"/>
      <c r="BW112" s="138"/>
      <c r="BX112" s="138"/>
      <c r="BY112" s="138"/>
      <c r="BZ112" s="139"/>
      <c r="CA112" s="139"/>
      <c r="CB112" s="139"/>
      <c r="CC112" s="140"/>
    </row>
    <row r="113" spans="64:81">
      <c r="BL113" s="133" t="s">
        <v>214</v>
      </c>
      <c r="BM113" s="134"/>
      <c r="BN113" s="134"/>
      <c r="BO113" s="134"/>
      <c r="BP113" s="134"/>
      <c r="BQ113" s="134"/>
      <c r="BR113" s="134"/>
      <c r="BS113" s="67"/>
      <c r="BT113" s="67"/>
      <c r="BU113" s="67"/>
      <c r="BV113" s="67"/>
      <c r="BW113" s="67"/>
      <c r="BX113" s="67"/>
      <c r="BY113" s="67"/>
      <c r="BZ113" s="135"/>
      <c r="CA113" s="135"/>
      <c r="CB113" s="135"/>
      <c r="CC113" s="68"/>
    </row>
    <row r="114" spans="64:81">
      <c r="BL114" s="133"/>
      <c r="BM114" s="134"/>
      <c r="BN114" s="134"/>
      <c r="BO114" s="134"/>
      <c r="BP114" s="134"/>
      <c r="BQ114" s="134"/>
      <c r="BR114" s="134"/>
      <c r="BS114" s="67"/>
      <c r="BT114" s="67"/>
      <c r="BU114" s="67"/>
      <c r="BV114" s="67"/>
      <c r="BW114" s="67"/>
      <c r="BX114" s="67"/>
      <c r="BY114" s="67"/>
      <c r="BZ114" s="135"/>
      <c r="CA114" s="135"/>
      <c r="CB114" s="135"/>
      <c r="CC114" s="113" t="s">
        <v>184</v>
      </c>
    </row>
    <row r="115" spans="64:81">
      <c r="BL115" s="136"/>
      <c r="BM115" s="137"/>
      <c r="BN115" s="137"/>
      <c r="BO115" s="137"/>
      <c r="BP115" s="137"/>
      <c r="BQ115" s="137"/>
      <c r="BR115" s="137"/>
      <c r="BS115" s="138"/>
      <c r="BT115" s="138"/>
      <c r="BU115" s="138"/>
      <c r="BV115" s="138"/>
      <c r="BW115" s="138"/>
      <c r="BX115" s="138"/>
      <c r="BY115" s="138"/>
      <c r="BZ115" s="139"/>
      <c r="CA115" s="139"/>
      <c r="CB115" s="139"/>
      <c r="CC115" s="140"/>
    </row>
    <row r="116" spans="64:81">
      <c r="BL116" s="133" t="s">
        <v>244</v>
      </c>
      <c r="BM116" s="134"/>
      <c r="BN116" s="134"/>
      <c r="BO116" s="134"/>
      <c r="BP116" s="134"/>
      <c r="BQ116" s="134"/>
      <c r="BR116" s="134"/>
      <c r="BS116" s="67"/>
      <c r="BT116" s="67"/>
      <c r="BU116" s="67"/>
      <c r="BV116" s="67"/>
      <c r="BW116" s="67"/>
      <c r="BX116" s="67"/>
      <c r="BY116" s="67"/>
      <c r="BZ116" s="135"/>
      <c r="CA116" s="135"/>
      <c r="CB116" s="135"/>
      <c r="CC116" s="68"/>
    </row>
    <row r="117" spans="64:81">
      <c r="BL117" s="133"/>
      <c r="BM117" s="134"/>
      <c r="BN117" s="134"/>
      <c r="BO117" s="134"/>
      <c r="BP117" s="134"/>
      <c r="BQ117" s="134"/>
      <c r="BR117" s="134"/>
      <c r="BS117" s="67"/>
      <c r="BT117" s="67"/>
      <c r="BU117" s="67"/>
      <c r="BV117" s="67"/>
      <c r="BW117" s="67"/>
      <c r="BX117" s="67"/>
      <c r="BY117" s="67"/>
      <c r="BZ117" s="135"/>
      <c r="CA117" s="135"/>
      <c r="CB117" s="135"/>
      <c r="CC117" s="113" t="s">
        <v>184</v>
      </c>
    </row>
    <row r="118" spans="64:81">
      <c r="BL118" s="136"/>
      <c r="BM118" s="137"/>
      <c r="BN118" s="137"/>
      <c r="BO118" s="137"/>
      <c r="BP118" s="137"/>
      <c r="BQ118" s="137"/>
      <c r="BR118" s="137"/>
      <c r="BS118" s="138"/>
      <c r="BT118" s="138"/>
      <c r="BU118" s="138"/>
      <c r="BV118" s="138"/>
      <c r="BW118" s="138"/>
      <c r="BX118" s="138"/>
      <c r="BY118" s="138"/>
      <c r="BZ118" s="139"/>
      <c r="CA118" s="139"/>
      <c r="CB118" s="139"/>
      <c r="CC118" s="140"/>
    </row>
    <row r="119" spans="64:81">
      <c r="BL119" s="81"/>
      <c r="BM119" s="67"/>
      <c r="BN119" s="67"/>
      <c r="BO119" s="67"/>
      <c r="BP119" s="67"/>
      <c r="BQ119" s="67"/>
      <c r="BR119" s="67"/>
      <c r="BS119" s="67"/>
      <c r="BT119" s="67"/>
      <c r="BU119" s="67"/>
      <c r="BV119" s="67"/>
      <c r="BW119" s="67"/>
      <c r="BX119" s="67"/>
      <c r="BY119" s="67"/>
      <c r="BZ119" s="67"/>
      <c r="CA119" s="67"/>
      <c r="CB119" s="67"/>
      <c r="CC119" s="68"/>
    </row>
    <row r="120" ht="17.25" spans="64:81">
      <c r="BL120" s="83"/>
      <c r="BM120" s="106"/>
      <c r="BN120" s="106"/>
      <c r="BO120" s="106"/>
      <c r="BP120" s="106"/>
      <c r="BQ120" s="106"/>
      <c r="BR120" s="106"/>
      <c r="BS120" s="106"/>
      <c r="BT120" s="106"/>
      <c r="BU120" s="106"/>
      <c r="BV120" s="106"/>
      <c r="BW120" s="106"/>
      <c r="BX120" s="106"/>
      <c r="BY120" s="106"/>
      <c r="BZ120" s="106"/>
      <c r="CA120" s="106"/>
      <c r="CB120" s="106"/>
      <c r="CC120" s="84"/>
    </row>
  </sheetData>
  <sheetProtection formatCells="0" formatColumns="0" formatRows="0" insertRows="0" insertColumns="0" insertHyperlinks="0" deleteColumns="0" deleteRows="0" sort="0" autoFilter="0" pivotTables="0"/>
  <mergeCells count="337">
    <mergeCell ref="B2:U2"/>
    <mergeCell ref="E5:F5"/>
    <mergeCell ref="H5:I5"/>
    <mergeCell ref="K5:L5"/>
    <mergeCell ref="O5:S5"/>
    <mergeCell ref="I7:L7"/>
    <mergeCell ref="E9:H9"/>
    <mergeCell ref="E11:H11"/>
    <mergeCell ref="I11:J11"/>
    <mergeCell ref="G12:H12"/>
    <mergeCell ref="E13:F13"/>
    <mergeCell ref="G13:H13"/>
    <mergeCell ref="I13:J13"/>
    <mergeCell ref="E16:I16"/>
    <mergeCell ref="E18:H18"/>
    <mergeCell ref="I18:J18"/>
    <mergeCell ref="M18:P18"/>
    <mergeCell ref="Q18:R18"/>
    <mergeCell ref="G19:H19"/>
    <mergeCell ref="O19:P19"/>
    <mergeCell ref="E20:F20"/>
    <mergeCell ref="G20:H20"/>
    <mergeCell ref="I20:J20"/>
    <mergeCell ref="M20:N20"/>
    <mergeCell ref="O20:P20"/>
    <mergeCell ref="Q20:R20"/>
    <mergeCell ref="E22:H22"/>
    <mergeCell ref="I22:J22"/>
    <mergeCell ref="M22:P22"/>
    <mergeCell ref="Q22:R22"/>
    <mergeCell ref="G23:H23"/>
    <mergeCell ref="O23:P23"/>
    <mergeCell ref="E24:F24"/>
    <mergeCell ref="G24:H24"/>
    <mergeCell ref="I24:J24"/>
    <mergeCell ref="M24:N24"/>
    <mergeCell ref="O24:P24"/>
    <mergeCell ref="Q24:R24"/>
    <mergeCell ref="E27:K27"/>
    <mergeCell ref="E29:H29"/>
    <mergeCell ref="I29:J29"/>
    <mergeCell ref="M29:P29"/>
    <mergeCell ref="R29:S29"/>
    <mergeCell ref="G30:H30"/>
    <mergeCell ref="P30:Q30"/>
    <mergeCell ref="E31:F31"/>
    <mergeCell ref="G31:H31"/>
    <mergeCell ref="I31:J31"/>
    <mergeCell ref="N31:O31"/>
    <mergeCell ref="P31:Q31"/>
    <mergeCell ref="R31:S31"/>
    <mergeCell ref="E33:H33"/>
    <mergeCell ref="I33:J33"/>
    <mergeCell ref="M33:P33"/>
    <mergeCell ref="R33:S33"/>
    <mergeCell ref="G34:H34"/>
    <mergeCell ref="P34:Q34"/>
    <mergeCell ref="E35:F35"/>
    <mergeCell ref="G35:H35"/>
    <mergeCell ref="I35:J35"/>
    <mergeCell ref="N35:O35"/>
    <mergeCell ref="P35:Q35"/>
    <mergeCell ref="R35:S35"/>
    <mergeCell ref="E37:H37"/>
    <mergeCell ref="I37:J37"/>
    <mergeCell ref="M37:P37"/>
    <mergeCell ref="Q37:R37"/>
    <mergeCell ref="G38:H38"/>
    <mergeCell ref="M38:Q38"/>
    <mergeCell ref="E39:F39"/>
    <mergeCell ref="G39:H39"/>
    <mergeCell ref="I39:J39"/>
    <mergeCell ref="M39:N39"/>
    <mergeCell ref="O39:P39"/>
    <mergeCell ref="Q39:R39"/>
    <mergeCell ref="E42:H42"/>
    <mergeCell ref="E44:H44"/>
    <mergeCell ref="I44:J44"/>
    <mergeCell ref="N44:Q44"/>
    <mergeCell ref="R44:S44"/>
    <mergeCell ref="G45:H45"/>
    <mergeCell ref="P45:Q45"/>
    <mergeCell ref="E46:F46"/>
    <mergeCell ref="G46:H46"/>
    <mergeCell ref="I46:J46"/>
    <mergeCell ref="M46:P46"/>
    <mergeCell ref="E48:H48"/>
    <mergeCell ref="I48:J48"/>
    <mergeCell ref="M48:P48"/>
    <mergeCell ref="Q48:R48"/>
    <mergeCell ref="F49:H49"/>
    <mergeCell ref="M49:P49"/>
    <mergeCell ref="G50:H50"/>
    <mergeCell ref="N50:P50"/>
    <mergeCell ref="D56:U56"/>
    <mergeCell ref="W56:AN56"/>
    <mergeCell ref="AR56:BI56"/>
    <mergeCell ref="BL56:CC56"/>
    <mergeCell ref="E59:F59"/>
    <mergeCell ref="H59:I59"/>
    <mergeCell ref="K59:L59"/>
    <mergeCell ref="O59:S59"/>
    <mergeCell ref="X59:Y59"/>
    <mergeCell ref="AA59:AB59"/>
    <mergeCell ref="AD59:AE59"/>
    <mergeCell ref="AH59:AL59"/>
    <mergeCell ref="AS59:AT59"/>
    <mergeCell ref="AV59:AW59"/>
    <mergeCell ref="AY59:AZ59"/>
    <mergeCell ref="BC59:BG59"/>
    <mergeCell ref="BM59:BN59"/>
    <mergeCell ref="BP59:BQ59"/>
    <mergeCell ref="BS59:BT59"/>
    <mergeCell ref="BW59:CA59"/>
    <mergeCell ref="E60:H60"/>
    <mergeCell ref="X60:AA60"/>
    <mergeCell ref="AS60:AV60"/>
    <mergeCell ref="BM60:BP60"/>
    <mergeCell ref="D66:U66"/>
    <mergeCell ref="W66:AN66"/>
    <mergeCell ref="AR66:BI66"/>
    <mergeCell ref="BL66:CC66"/>
    <mergeCell ref="D71:I71"/>
    <mergeCell ref="J71:L71"/>
    <mergeCell ref="N71:P71"/>
    <mergeCell ref="R71:T71"/>
    <mergeCell ref="W71:Z71"/>
    <mergeCell ref="AA71:AD71"/>
    <mergeCell ref="AF71:AI71"/>
    <mergeCell ref="AJ71:AN71"/>
    <mergeCell ref="D72:I72"/>
    <mergeCell ref="J72:L72"/>
    <mergeCell ref="N72:P72"/>
    <mergeCell ref="R72:T72"/>
    <mergeCell ref="W72:Z72"/>
    <mergeCell ref="AA72:AD72"/>
    <mergeCell ref="AF72:AI72"/>
    <mergeCell ref="AJ72:AN72"/>
    <mergeCell ref="AR73:AU73"/>
    <mergeCell ref="BC73:BE73"/>
    <mergeCell ref="BF73:BH73"/>
    <mergeCell ref="BL73:BO73"/>
    <mergeCell ref="BW73:BY73"/>
    <mergeCell ref="BZ73:CB73"/>
    <mergeCell ref="W74:Z74"/>
    <mergeCell ref="AA74:AD74"/>
    <mergeCell ref="AF74:AI74"/>
    <mergeCell ref="AJ74:AN74"/>
    <mergeCell ref="D75:U75"/>
    <mergeCell ref="W75:Z75"/>
    <mergeCell ref="AA75:AD75"/>
    <mergeCell ref="AF75:AI75"/>
    <mergeCell ref="AK75:AN75"/>
    <mergeCell ref="D76:U76"/>
    <mergeCell ref="W77:Z77"/>
    <mergeCell ref="AA77:AE77"/>
    <mergeCell ref="AF77:AI77"/>
    <mergeCell ref="AJ77:AN77"/>
    <mergeCell ref="W78:Z78"/>
    <mergeCell ref="AA78:AD78"/>
    <mergeCell ref="AF78:AI78"/>
    <mergeCell ref="AK78:AN78"/>
    <mergeCell ref="R79:S79"/>
    <mergeCell ref="W81:AN81"/>
    <mergeCell ref="R82:S82"/>
    <mergeCell ref="AK84:AL84"/>
    <mergeCell ref="R85:S85"/>
    <mergeCell ref="AR86:BI86"/>
    <mergeCell ref="AK87:AL87"/>
    <mergeCell ref="R88:S88"/>
    <mergeCell ref="BF89:BH89"/>
    <mergeCell ref="AK90:AL90"/>
    <mergeCell ref="R91:S91"/>
    <mergeCell ref="BF92:BH92"/>
    <mergeCell ref="BL92:BQ92"/>
    <mergeCell ref="AK93:AL93"/>
    <mergeCell ref="R94:S94"/>
    <mergeCell ref="BF95:BH95"/>
    <mergeCell ref="AK96:AL96"/>
    <mergeCell ref="BF98:BH98"/>
    <mergeCell ref="AK99:AL99"/>
    <mergeCell ref="BL100:CC100"/>
    <mergeCell ref="BF101:BH101"/>
    <mergeCell ref="BZ103:CB103"/>
    <mergeCell ref="BF104:BH104"/>
    <mergeCell ref="BZ106:CB106"/>
    <mergeCell ref="BZ109:CB109"/>
    <mergeCell ref="BZ112:CB112"/>
    <mergeCell ref="BZ115:CB115"/>
    <mergeCell ref="BZ118:CB118"/>
    <mergeCell ref="B3:C5"/>
    <mergeCell ref="B6:C8"/>
    <mergeCell ref="B9:C11"/>
    <mergeCell ref="B12:C14"/>
    <mergeCell ref="D57:U58"/>
    <mergeCell ref="AR57:BI58"/>
    <mergeCell ref="W57:AN58"/>
    <mergeCell ref="BL57:CC58"/>
    <mergeCell ref="BR86:BT87"/>
    <mergeCell ref="CA86:CC87"/>
    <mergeCell ref="BR92:BT93"/>
    <mergeCell ref="BR71:BT72"/>
    <mergeCell ref="CA71:CC72"/>
    <mergeCell ref="BR74:BT75"/>
    <mergeCell ref="CA74:CC75"/>
    <mergeCell ref="BR77:BT78"/>
    <mergeCell ref="CA77:CC78"/>
    <mergeCell ref="BR80:BT81"/>
    <mergeCell ref="CA80:CC81"/>
    <mergeCell ref="D77:J79"/>
    <mergeCell ref="D80:J82"/>
    <mergeCell ref="D83:J85"/>
    <mergeCell ref="R77:T78"/>
    <mergeCell ref="R80:T81"/>
    <mergeCell ref="R83:T84"/>
    <mergeCell ref="D86:J88"/>
    <mergeCell ref="R86:T87"/>
    <mergeCell ref="BR83:BT84"/>
    <mergeCell ref="CA83:CC84"/>
    <mergeCell ref="R89:T90"/>
    <mergeCell ref="R92:T93"/>
    <mergeCell ref="BL86:BQ87"/>
    <mergeCell ref="AR87:AX89"/>
    <mergeCell ref="BF87:BH88"/>
    <mergeCell ref="AR90:AX92"/>
    <mergeCell ref="BF90:BH91"/>
    <mergeCell ref="I68:O69"/>
    <mergeCell ref="AB68:AH69"/>
    <mergeCell ref="AW68:BC69"/>
    <mergeCell ref="AR71:AW72"/>
    <mergeCell ref="AR74:AW75"/>
    <mergeCell ref="AR77:AW78"/>
    <mergeCell ref="AR80:AW81"/>
    <mergeCell ref="AR83:AW84"/>
    <mergeCell ref="AY71:AZ72"/>
    <mergeCell ref="AY74:AZ75"/>
    <mergeCell ref="AY77:AZ78"/>
    <mergeCell ref="AY80:AZ81"/>
    <mergeCell ref="AY83:AZ84"/>
    <mergeCell ref="BB71:BF72"/>
    <mergeCell ref="BV71:BZ72"/>
    <mergeCell ref="BB74:BF75"/>
    <mergeCell ref="BV74:BZ75"/>
    <mergeCell ref="BB77:BF78"/>
    <mergeCell ref="BV77:BZ78"/>
    <mergeCell ref="BB80:BF81"/>
    <mergeCell ref="BV80:BZ81"/>
    <mergeCell ref="BB83:BF84"/>
    <mergeCell ref="BV83:BZ84"/>
    <mergeCell ref="AR93:AX95"/>
    <mergeCell ref="BF93:BH94"/>
    <mergeCell ref="AR96:AX98"/>
    <mergeCell ref="BF96:BH97"/>
    <mergeCell ref="AR99:AX101"/>
    <mergeCell ref="BF99:BH100"/>
    <mergeCell ref="AR102:AX104"/>
    <mergeCell ref="BF102:BH103"/>
    <mergeCell ref="BG71:BI72"/>
    <mergeCell ref="BG74:BI75"/>
    <mergeCell ref="BG77:BI78"/>
    <mergeCell ref="BG80:BI81"/>
    <mergeCell ref="BG83:BI84"/>
    <mergeCell ref="BQ68:BW69"/>
    <mergeCell ref="BL71:BQ72"/>
    <mergeCell ref="BL74:BQ75"/>
    <mergeCell ref="BL77:BQ78"/>
    <mergeCell ref="BL80:BQ81"/>
    <mergeCell ref="BL83:BQ84"/>
    <mergeCell ref="BZ113:CB114"/>
    <mergeCell ref="BZ116:CB117"/>
    <mergeCell ref="BL113:BR115"/>
    <mergeCell ref="BL116:BR118"/>
    <mergeCell ref="BV86:BZ87"/>
    <mergeCell ref="D89:J91"/>
    <mergeCell ref="D92:J94"/>
    <mergeCell ref="D61:G62"/>
    <mergeCell ref="AB61:AE62"/>
    <mergeCell ref="AR61:AU62"/>
    <mergeCell ref="BL61:BO62"/>
    <mergeCell ref="I61:L62"/>
    <mergeCell ref="AG61:AJ62"/>
    <mergeCell ref="AW61:AZ62"/>
    <mergeCell ref="BQ61:BT62"/>
    <mergeCell ref="N61:Q62"/>
    <mergeCell ref="BB61:BE62"/>
    <mergeCell ref="BV61:BY62"/>
    <mergeCell ref="S61:U62"/>
    <mergeCell ref="CA61:CC62"/>
    <mergeCell ref="D64:G65"/>
    <mergeCell ref="AB64:AE65"/>
    <mergeCell ref="AR64:AU65"/>
    <mergeCell ref="BL64:BO65"/>
    <mergeCell ref="I64:L65"/>
    <mergeCell ref="AG64:AJ65"/>
    <mergeCell ref="AW64:AZ65"/>
    <mergeCell ref="BQ64:BT65"/>
    <mergeCell ref="N64:Q65"/>
    <mergeCell ref="BB64:BE65"/>
    <mergeCell ref="BV64:BY65"/>
    <mergeCell ref="S64:U65"/>
    <mergeCell ref="CA64:CC65"/>
    <mergeCell ref="W61:Z62"/>
    <mergeCell ref="AL61:AN62"/>
    <mergeCell ref="BG61:BI62"/>
    <mergeCell ref="W64:Z65"/>
    <mergeCell ref="AL64:AN65"/>
    <mergeCell ref="BG64:BI65"/>
    <mergeCell ref="BZ110:CB111"/>
    <mergeCell ref="BZ101:CB102"/>
    <mergeCell ref="BZ104:CB105"/>
    <mergeCell ref="BZ107:CB108"/>
    <mergeCell ref="AK94:AM95"/>
    <mergeCell ref="BR94:BT95"/>
    <mergeCell ref="CA94:CC95"/>
    <mergeCell ref="AK97:AM98"/>
    <mergeCell ref="BR97:BT98"/>
    <mergeCell ref="CA97:CC98"/>
    <mergeCell ref="W91:AC93"/>
    <mergeCell ref="AK91:AM92"/>
    <mergeCell ref="W94:AC96"/>
    <mergeCell ref="W97:AC99"/>
    <mergeCell ref="W82:AC84"/>
    <mergeCell ref="AK82:AM83"/>
    <mergeCell ref="W85:AC87"/>
    <mergeCell ref="AK85:AM86"/>
    <mergeCell ref="W88:AC90"/>
    <mergeCell ref="AK88:AM89"/>
    <mergeCell ref="BL89:BT90"/>
    <mergeCell ref="BV89:BZ90"/>
    <mergeCell ref="BL94:BQ95"/>
    <mergeCell ref="BU94:BZ95"/>
    <mergeCell ref="BL110:BR112"/>
    <mergeCell ref="BL97:BQ98"/>
    <mergeCell ref="BU97:BZ98"/>
    <mergeCell ref="BL107:BR109"/>
    <mergeCell ref="BL104:BR106"/>
    <mergeCell ref="BL101:BR103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D27"/>
  <sheetViews>
    <sheetView topLeftCell="W11" workbookViewId="0">
      <selection activeCell="Z13" sqref="Z13:AC13"/>
    </sheetView>
  </sheetViews>
  <sheetFormatPr defaultColWidth="9" defaultRowHeight="16.5"/>
  <cols>
    <col min="1" max="1" width="1.125" style="35" customWidth="1"/>
    <col min="2" max="2" width="1.375" style="35" customWidth="1"/>
    <col min="3" max="3" width="19.625" style="35" customWidth="1"/>
    <col min="4" max="4" width="1.25" style="35" customWidth="1"/>
    <col min="5" max="5" width="19.625" style="35" customWidth="1"/>
    <col min="6" max="6" width="1.25" style="35" customWidth="1"/>
    <col min="7" max="7" width="19.625" style="35" customWidth="1"/>
    <col min="8" max="8" width="0.75" style="35" customWidth="1"/>
    <col min="9" max="9" width="1.875" style="35" customWidth="1"/>
    <col min="10" max="10" width="1.375" style="35" customWidth="1"/>
    <col min="11" max="11" width="22.225" style="35" customWidth="1"/>
    <col min="12" max="12" width="1.25" style="35" customWidth="1"/>
    <col min="13" max="13" width="22.25" style="35" customWidth="1"/>
    <col min="14" max="14" width="0.925" style="35" customWidth="1"/>
    <col min="15" max="15" width="2.55833333333333" style="35" customWidth="1"/>
    <col min="16" max="16" width="0.975" style="35" customWidth="1"/>
    <col min="17" max="17" width="24.125" style="35" customWidth="1"/>
    <col min="18" max="18" width="1.69166666666667" style="35" customWidth="1"/>
    <col min="19" max="19" width="24.0833333333333" style="35" customWidth="1"/>
    <col min="20" max="20" width="14.75" style="35" customWidth="1"/>
    <col min="21" max="22" width="2" style="35" customWidth="1"/>
    <col min="23" max="23" width="19.5" style="35" customWidth="1"/>
    <col min="24" max="24" width="5.125" style="35" customWidth="1"/>
    <col min="25" max="25" width="32.1666666666667" style="35" customWidth="1"/>
    <col min="26" max="26" width="4.39166666666667" style="35" customWidth="1"/>
    <col min="27" max="27" width="26.775" style="35" customWidth="1"/>
    <col min="28" max="30" width="8.875" style="35" customWidth="1"/>
    <col min="31" max="16384" width="9" style="35"/>
  </cols>
  <sheetData>
    <row r="2" spans="2:30">
      <c r="B2" s="36"/>
      <c r="C2" s="37"/>
      <c r="D2" s="37"/>
      <c r="E2" s="37"/>
      <c r="F2" s="37"/>
      <c r="G2" s="37"/>
      <c r="H2" s="38"/>
      <c r="J2" s="36"/>
      <c r="K2" s="37"/>
      <c r="L2" s="37"/>
      <c r="M2" s="37"/>
      <c r="N2" s="38"/>
      <c r="P2" s="36"/>
      <c r="Q2" s="37"/>
      <c r="R2" s="37"/>
      <c r="S2" s="37"/>
      <c r="T2" s="38"/>
    </row>
    <row r="3" ht="22.5" spans="2:30">
      <c r="B3" s="39"/>
      <c r="C3" s="40" t="s">
        <v>250</v>
      </c>
      <c r="H3" s="41"/>
      <c r="J3" s="39"/>
      <c r="K3" s="40" t="s">
        <v>251</v>
      </c>
      <c r="N3" s="41"/>
      <c r="P3" s="39"/>
      <c r="Q3" s="40" t="s">
        <v>252</v>
      </c>
      <c r="T3" s="41"/>
      <c r="W3" s="40" t="s">
        <v>253</v>
      </c>
    </row>
    <row r="4" ht="5.15" customHeight="1" spans="2:30">
      <c r="B4" s="39"/>
      <c r="H4" s="41"/>
      <c r="J4" s="39"/>
      <c r="N4" s="41"/>
      <c r="P4" s="39"/>
      <c r="T4" s="41"/>
    </row>
    <row r="5" ht="38.25" customHeight="1" spans="2:30">
      <c r="B5" s="39"/>
      <c r="C5" s="42" t="s">
        <v>1</v>
      </c>
      <c r="E5" s="42" t="s">
        <v>2</v>
      </c>
      <c r="H5" s="41"/>
      <c r="J5" s="39"/>
      <c r="K5" s="42" t="s">
        <v>1</v>
      </c>
      <c r="M5" s="42" t="s">
        <v>2</v>
      </c>
      <c r="N5" s="41"/>
      <c r="P5" s="39"/>
      <c r="Q5" s="42" t="s">
        <v>1</v>
      </c>
      <c r="S5" s="42" t="s">
        <v>2</v>
      </c>
      <c r="T5" s="41"/>
      <c r="W5" s="42" t="s">
        <v>1</v>
      </c>
      <c r="Y5" s="42" t="s">
        <v>2</v>
      </c>
    </row>
    <row r="6" ht="6" customHeight="1" spans="2:30">
      <c r="B6" s="39"/>
      <c r="H6" s="41"/>
      <c r="J6" s="39"/>
      <c r="N6" s="41"/>
      <c r="P6" s="39"/>
      <c r="T6" s="41"/>
    </row>
    <row r="7" ht="109.35" customHeight="1" spans="2:30">
      <c r="B7" s="39"/>
      <c r="C7" s="43" t="s">
        <v>254</v>
      </c>
      <c r="E7" s="43" t="s">
        <v>255</v>
      </c>
      <c r="G7" s="43" t="s">
        <v>256</v>
      </c>
      <c r="H7" s="41"/>
      <c r="J7" s="39"/>
      <c r="K7" s="43" t="s">
        <v>257</v>
      </c>
      <c r="M7" s="43" t="s">
        <v>258</v>
      </c>
      <c r="N7" s="41"/>
      <c r="P7" s="39"/>
      <c r="Q7" s="43" t="s">
        <v>259</v>
      </c>
      <c r="S7" s="43" t="s">
        <v>260</v>
      </c>
      <c r="T7" s="41"/>
      <c r="U7" s="44"/>
      <c r="V7" s="44"/>
      <c r="W7" s="45" t="s">
        <v>261</v>
      </c>
      <c r="Y7" s="45" t="s">
        <v>121</v>
      </c>
      <c r="AA7" s="45" t="s">
        <v>262</v>
      </c>
    </row>
    <row r="8" ht="6.85" customHeight="1" spans="2:30">
      <c r="B8" s="39"/>
      <c r="H8" s="41"/>
      <c r="J8" s="39"/>
      <c r="N8" s="41"/>
      <c r="P8" s="39"/>
      <c r="T8" s="41"/>
    </row>
    <row r="9" ht="82.5" spans="2:30">
      <c r="B9" s="39"/>
      <c r="C9" s="43" t="s">
        <v>263</v>
      </c>
      <c r="E9" s="43" t="s">
        <v>264</v>
      </c>
      <c r="G9" s="46" t="s">
        <v>265</v>
      </c>
      <c r="H9" s="41"/>
      <c r="J9" s="39"/>
      <c r="K9" s="43" t="s">
        <v>266</v>
      </c>
      <c r="M9" s="45" t="s">
        <v>267</v>
      </c>
      <c r="N9" s="41"/>
      <c r="P9" s="39"/>
      <c r="T9" s="41"/>
      <c r="W9" s="45" t="s">
        <v>268</v>
      </c>
      <c r="Y9" s="45" t="s">
        <v>124</v>
      </c>
      <c r="AA9" s="45" t="s">
        <v>269</v>
      </c>
    </row>
    <row r="10" ht="6.85" customHeight="1" spans="2:30">
      <c r="B10" s="39"/>
      <c r="H10" s="41"/>
      <c r="J10" s="39"/>
      <c r="N10" s="41"/>
      <c r="P10" s="39"/>
      <c r="T10" s="41"/>
    </row>
    <row r="11" ht="73.5" spans="2:30">
      <c r="B11" s="39"/>
      <c r="C11" s="47" t="s">
        <v>270</v>
      </c>
      <c r="E11" s="43" t="s">
        <v>271</v>
      </c>
      <c r="G11" s="43" t="s">
        <v>272</v>
      </c>
      <c r="H11" s="41"/>
      <c r="J11" s="39"/>
      <c r="K11" s="43" t="s">
        <v>273</v>
      </c>
      <c r="N11" s="41"/>
      <c r="P11" s="39"/>
      <c r="Q11" s="48"/>
      <c r="T11" s="41"/>
      <c r="W11" s="49" t="s">
        <v>274</v>
      </c>
    </row>
    <row r="12" ht="17.25" spans="2:30">
      <c r="B12" s="39"/>
      <c r="C12" s="50"/>
      <c r="H12" s="41"/>
      <c r="J12" s="39"/>
      <c r="K12" s="50"/>
      <c r="N12" s="41"/>
      <c r="P12" s="39"/>
      <c r="T12" s="41"/>
      <c r="W12" s="51" t="s">
        <v>84</v>
      </c>
      <c r="X12" s="52"/>
      <c r="Y12" s="51"/>
      <c r="Z12" s="52"/>
      <c r="AA12" s="53" t="s">
        <v>275</v>
      </c>
      <c r="AB12" s="52"/>
      <c r="AC12" s="54"/>
    </row>
    <row r="13" spans="2:30">
      <c r="B13" s="39"/>
      <c r="C13" s="55" t="s">
        <v>84</v>
      </c>
      <c r="H13" s="41"/>
      <c r="J13" s="39"/>
      <c r="K13" s="55" t="s">
        <v>84</v>
      </c>
      <c r="N13" s="41"/>
      <c r="P13" s="39"/>
      <c r="Q13" s="54" t="s">
        <v>84</v>
      </c>
      <c r="T13" s="41"/>
      <c r="W13" s="51" t="s">
        <v>276</v>
      </c>
      <c r="X13" s="51" t="s">
        <v>52</v>
      </c>
      <c r="Y13" s="51" t="s">
        <v>143</v>
      </c>
      <c r="Z13" s="52"/>
      <c r="AA13" s="51" t="s">
        <v>146</v>
      </c>
      <c r="AB13" s="54" t="s">
        <v>277</v>
      </c>
      <c r="AC13" s="51" t="s">
        <v>149</v>
      </c>
      <c r="AD13" s="54" t="s">
        <v>150</v>
      </c>
    </row>
    <row r="14" spans="2:30">
      <c r="B14" s="39"/>
      <c r="C14" s="55" t="s">
        <v>278</v>
      </c>
      <c r="E14" s="54"/>
      <c r="H14" s="41"/>
      <c r="J14" s="39"/>
      <c r="K14" s="55" t="s">
        <v>279</v>
      </c>
      <c r="N14" s="41"/>
      <c r="P14" s="39"/>
      <c r="Q14" s="55" t="s">
        <v>280</v>
      </c>
      <c r="T14" s="41"/>
      <c r="W14" s="51" t="s">
        <v>281</v>
      </c>
      <c r="X14" s="52"/>
      <c r="Y14" s="52"/>
      <c r="Z14" s="52"/>
      <c r="AA14" s="52"/>
      <c r="AB14" s="52"/>
    </row>
    <row r="15" spans="2:30">
      <c r="B15" s="56"/>
      <c r="C15" s="57"/>
      <c r="D15" s="57"/>
      <c r="E15" s="57"/>
      <c r="F15" s="57"/>
      <c r="G15" s="57"/>
      <c r="H15" s="58"/>
      <c r="J15" s="56"/>
      <c r="K15" s="57"/>
      <c r="L15" s="57"/>
      <c r="M15" s="57"/>
      <c r="N15" s="58"/>
      <c r="P15" s="56"/>
      <c r="Q15" s="57"/>
      <c r="R15" s="57"/>
      <c r="S15" s="57"/>
      <c r="T15" s="58"/>
      <c r="W15" s="51" t="s">
        <v>128</v>
      </c>
      <c r="X15" s="52"/>
      <c r="Y15" s="52"/>
      <c r="Z15" s="52"/>
      <c r="AA15" s="52"/>
      <c r="AB15" s="52"/>
    </row>
    <row r="16" spans="2:30">
      <c r="W16" s="51" t="s">
        <v>129</v>
      </c>
      <c r="X16" s="52"/>
      <c r="Y16" s="52"/>
      <c r="Z16" s="52"/>
      <c r="AA16" s="52"/>
      <c r="AB16" s="52"/>
    </row>
    <row r="17" spans="23:28">
      <c r="W17" s="51" t="s">
        <v>130</v>
      </c>
      <c r="X17" s="52"/>
      <c r="Y17" s="52"/>
      <c r="Z17" s="52"/>
      <c r="AA17" s="52"/>
      <c r="AB17" s="52"/>
    </row>
    <row r="18" spans="23:28">
      <c r="W18" s="51" t="s">
        <v>131</v>
      </c>
      <c r="X18" s="52"/>
      <c r="Y18" s="52"/>
      <c r="Z18" s="52"/>
      <c r="AA18" s="52"/>
      <c r="AB18" s="52"/>
    </row>
    <row r="19" spans="23:28">
      <c r="W19" s="52"/>
      <c r="X19" s="52"/>
      <c r="Y19" s="52"/>
      <c r="Z19" s="52"/>
      <c r="AA19" s="52"/>
      <c r="AB19" s="52"/>
    </row>
    <row r="20" spans="23:28">
      <c r="W20" s="52"/>
      <c r="X20" s="52"/>
      <c r="Y20" s="52"/>
      <c r="Z20" s="52"/>
      <c r="AA20" s="52"/>
      <c r="AB20" s="52"/>
    </row>
    <row r="21" spans="23:28">
      <c r="W21" s="52"/>
      <c r="X21" s="52"/>
      <c r="Y21" s="52"/>
      <c r="Z21" s="52"/>
      <c r="AA21" s="52"/>
      <c r="AB21" s="52"/>
    </row>
    <row r="22" spans="23:28">
      <c r="W22" s="52"/>
      <c r="X22" s="52"/>
      <c r="Y22" s="52"/>
      <c r="Z22" s="52"/>
      <c r="AA22" s="52"/>
      <c r="AB22" s="52"/>
    </row>
    <row r="23" spans="23:28">
      <c r="W23" s="52"/>
      <c r="X23" s="52"/>
      <c r="Y23" s="52"/>
      <c r="Z23" s="52"/>
      <c r="AA23" s="52"/>
      <c r="AB23" s="52"/>
    </row>
    <row r="24" spans="23:28">
      <c r="W24" s="52"/>
      <c r="X24" s="52"/>
      <c r="Y24" s="52"/>
      <c r="Z24" s="52"/>
      <c r="AA24" s="52"/>
      <c r="AB24" s="52"/>
    </row>
    <row r="25" spans="23:28">
      <c r="W25" s="52"/>
      <c r="X25" s="52"/>
      <c r="Y25" s="52"/>
      <c r="Z25" s="52"/>
      <c r="AA25" s="52"/>
      <c r="AB25" s="52"/>
    </row>
    <row r="26" spans="23:28">
      <c r="W26" s="52"/>
      <c r="X26" s="52"/>
      <c r="Y26" s="52"/>
      <c r="Z26" s="52"/>
      <c r="AA26" s="52"/>
      <c r="AB26" s="52"/>
    </row>
    <row r="27" spans="23:28">
      <c r="W27" s="52"/>
      <c r="X27" s="52"/>
      <c r="Y27" s="52"/>
      <c r="Z27" s="52"/>
      <c r="AA27" s="52"/>
      <c r="AB27" s="5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2F0D9"/>
  </sheetPr>
  <dimension ref="B1:I645"/>
  <sheetViews>
    <sheetView zoomScale="90" zoomScaleNormal="90" workbookViewId="0">
      <pane xSplit="4" ySplit="2" topLeftCell="E445" activePane="bottomRight" state="frozen"/>
      <selection/>
      <selection pane="topRight"/>
      <selection pane="bottomLeft"/>
      <selection pane="bottomRight" activeCell="M487" sqref="M487"/>
    </sheetView>
  </sheetViews>
  <sheetFormatPr defaultColWidth="8.8" defaultRowHeight="16.5"/>
  <cols>
    <col min="1" max="1" width="0.625" style="2" customWidth="1"/>
    <col min="2" max="2" width="8.8" style="2"/>
    <col min="3" max="4" width="8.875" style="2" customWidth="1"/>
    <col min="5" max="5" width="15.875" style="2" customWidth="1"/>
    <col min="6" max="6" width="35" style="2" customWidth="1"/>
    <col min="7" max="7" width="9.25" style="2" customWidth="1"/>
    <col min="8" max="8" width="11.875" style="2" customWidth="1"/>
    <col min="9" max="9" width="11.3916666666667" style="3" customWidth="1"/>
    <col min="10" max="16384" width="8.8" style="2"/>
  </cols>
  <sheetData>
    <row r="1" ht="5" customHeight="1"/>
    <row r="2" s="1" customFormat="1" ht="25.85" customHeight="1" spans="2:9">
      <c r="B2" s="4" t="s">
        <v>282</v>
      </c>
      <c r="C2" s="5" t="s">
        <v>283</v>
      </c>
      <c r="D2" s="6" t="s">
        <v>284</v>
      </c>
      <c r="E2" s="5" t="s">
        <v>285</v>
      </c>
      <c r="F2" s="6" t="s">
        <v>286</v>
      </c>
      <c r="G2" s="7" t="s">
        <v>287</v>
      </c>
      <c r="H2" s="7" t="s">
        <v>288</v>
      </c>
      <c r="I2" s="8" t="s">
        <v>289</v>
      </c>
    </row>
    <row r="3" spans="2:9">
      <c r="B3" s="9" t="s">
        <v>290</v>
      </c>
      <c r="C3" s="9" t="s">
        <v>281</v>
      </c>
      <c r="D3" s="10" t="s">
        <v>281</v>
      </c>
      <c r="E3" s="11" t="s">
        <v>291</v>
      </c>
      <c r="F3" s="11" t="s">
        <v>292</v>
      </c>
      <c r="G3" s="11">
        <v>1</v>
      </c>
      <c r="H3" s="12" t="s">
        <v>293</v>
      </c>
      <c r="I3" s="13">
        <v>398</v>
      </c>
    </row>
    <row r="4" spans="2:9">
      <c r="B4" s="9" t="s">
        <v>290</v>
      </c>
      <c r="C4" s="9" t="s">
        <v>281</v>
      </c>
      <c r="D4" s="10" t="s">
        <v>281</v>
      </c>
      <c r="E4" s="11" t="s">
        <v>291</v>
      </c>
      <c r="F4" s="11" t="s">
        <v>292</v>
      </c>
      <c r="G4" s="11">
        <v>1</v>
      </c>
      <c r="H4" s="11" t="s">
        <v>294</v>
      </c>
      <c r="I4" s="14">
        <v>298</v>
      </c>
    </row>
    <row r="5" spans="2:9">
      <c r="B5" s="9" t="s">
        <v>290</v>
      </c>
      <c r="C5" s="9" t="s">
        <v>281</v>
      </c>
      <c r="D5" s="10" t="s">
        <v>281</v>
      </c>
      <c r="E5" s="11" t="s">
        <v>291</v>
      </c>
      <c r="F5" s="11" t="s">
        <v>292</v>
      </c>
      <c r="G5" s="11">
        <v>5</v>
      </c>
      <c r="H5" s="11" t="s">
        <v>294</v>
      </c>
      <c r="I5" s="14">
        <v>1000</v>
      </c>
    </row>
    <row r="6" spans="2:9">
      <c r="B6" s="9" t="s">
        <v>290</v>
      </c>
      <c r="C6" s="9" t="s">
        <v>281</v>
      </c>
      <c r="D6" s="10" t="s">
        <v>281</v>
      </c>
      <c r="E6" s="11" t="s">
        <v>291</v>
      </c>
      <c r="F6" s="11" t="s">
        <v>292</v>
      </c>
      <c r="G6" s="11">
        <v>15</v>
      </c>
      <c r="H6" s="11" t="s">
        <v>294</v>
      </c>
      <c r="I6" s="14">
        <v>3000</v>
      </c>
    </row>
    <row r="7" spans="2:9">
      <c r="B7" s="9" t="s">
        <v>290</v>
      </c>
      <c r="C7" s="9" t="s">
        <v>281</v>
      </c>
      <c r="D7" s="10" t="s">
        <v>281</v>
      </c>
      <c r="E7" s="11" t="s">
        <v>291</v>
      </c>
      <c r="F7" s="11" t="s">
        <v>292</v>
      </c>
      <c r="G7" s="11">
        <v>25</v>
      </c>
      <c r="H7" s="11" t="s">
        <v>294</v>
      </c>
      <c r="I7" s="14">
        <v>5000</v>
      </c>
    </row>
    <row r="8" spans="2:9">
      <c r="B8" s="9" t="s">
        <v>290</v>
      </c>
      <c r="C8" s="9" t="s">
        <v>281</v>
      </c>
      <c r="D8" s="10" t="s">
        <v>281</v>
      </c>
      <c r="E8" s="11" t="s">
        <v>291</v>
      </c>
      <c r="F8" s="11" t="s">
        <v>292</v>
      </c>
      <c r="G8" s="11">
        <v>50</v>
      </c>
      <c r="H8" s="11" t="s">
        <v>294</v>
      </c>
      <c r="I8" s="14">
        <v>10000</v>
      </c>
    </row>
    <row r="9" spans="2:9">
      <c r="B9" s="9" t="s">
        <v>290</v>
      </c>
      <c r="C9" s="9" t="s">
        <v>281</v>
      </c>
      <c r="D9" s="10" t="s">
        <v>281</v>
      </c>
      <c r="E9" s="10" t="s">
        <v>295</v>
      </c>
      <c r="F9" s="10" t="s">
        <v>296</v>
      </c>
      <c r="G9" s="11">
        <v>1</v>
      </c>
      <c r="H9" s="12" t="s">
        <v>293</v>
      </c>
      <c r="I9" s="13">
        <v>398</v>
      </c>
    </row>
    <row r="10" spans="2:9">
      <c r="B10" s="9" t="s">
        <v>290</v>
      </c>
      <c r="C10" s="9" t="s">
        <v>281</v>
      </c>
      <c r="D10" s="10" t="s">
        <v>281</v>
      </c>
      <c r="E10" s="10" t="s">
        <v>295</v>
      </c>
      <c r="F10" s="10" t="s">
        <v>296</v>
      </c>
      <c r="G10" s="11">
        <v>1</v>
      </c>
      <c r="H10" s="10" t="s">
        <v>294</v>
      </c>
      <c r="I10" s="14">
        <v>298</v>
      </c>
    </row>
    <row r="11" spans="2:9">
      <c r="B11" s="9" t="s">
        <v>290</v>
      </c>
      <c r="C11" s="9" t="s">
        <v>281</v>
      </c>
      <c r="D11" s="10" t="s">
        <v>281</v>
      </c>
      <c r="E11" s="10" t="s">
        <v>295</v>
      </c>
      <c r="F11" s="10" t="s">
        <v>296</v>
      </c>
      <c r="G11" s="11">
        <v>5</v>
      </c>
      <c r="H11" s="10" t="s">
        <v>294</v>
      </c>
      <c r="I11" s="14">
        <v>1000</v>
      </c>
    </row>
    <row r="12" spans="2:9">
      <c r="B12" s="9" t="s">
        <v>290</v>
      </c>
      <c r="C12" s="9" t="s">
        <v>281</v>
      </c>
      <c r="D12" s="10" t="s">
        <v>281</v>
      </c>
      <c r="E12" s="10" t="s">
        <v>295</v>
      </c>
      <c r="F12" s="10" t="s">
        <v>296</v>
      </c>
      <c r="G12" s="11">
        <v>15</v>
      </c>
      <c r="H12" s="10" t="s">
        <v>294</v>
      </c>
      <c r="I12" s="14">
        <v>3000</v>
      </c>
    </row>
    <row r="13" spans="2:9">
      <c r="B13" s="9" t="s">
        <v>290</v>
      </c>
      <c r="C13" s="9" t="s">
        <v>281</v>
      </c>
      <c r="D13" s="10" t="s">
        <v>281</v>
      </c>
      <c r="E13" s="10" t="s">
        <v>295</v>
      </c>
      <c r="F13" s="10" t="s">
        <v>296</v>
      </c>
      <c r="G13" s="11">
        <v>25</v>
      </c>
      <c r="H13" s="10" t="s">
        <v>294</v>
      </c>
      <c r="I13" s="14">
        <v>5000</v>
      </c>
    </row>
    <row r="14" spans="2:9">
      <c r="B14" s="9" t="s">
        <v>290</v>
      </c>
      <c r="C14" s="9" t="s">
        <v>281</v>
      </c>
      <c r="D14" s="10" t="s">
        <v>281</v>
      </c>
      <c r="E14" s="10" t="s">
        <v>295</v>
      </c>
      <c r="F14" s="10" t="s">
        <v>296</v>
      </c>
      <c r="G14" s="11">
        <v>50</v>
      </c>
      <c r="H14" s="10" t="s">
        <v>294</v>
      </c>
      <c r="I14" s="14">
        <v>10000</v>
      </c>
    </row>
    <row r="15" spans="2:9">
      <c r="B15" s="9" t="s">
        <v>290</v>
      </c>
      <c r="C15" s="9" t="s">
        <v>281</v>
      </c>
      <c r="D15" s="10" t="s">
        <v>281</v>
      </c>
      <c r="E15" s="10" t="s">
        <v>295</v>
      </c>
      <c r="F15" s="10" t="s">
        <v>297</v>
      </c>
      <c r="G15" s="11">
        <v>1</v>
      </c>
      <c r="H15" s="12" t="s">
        <v>293</v>
      </c>
      <c r="I15" s="13">
        <v>398</v>
      </c>
    </row>
    <row r="16" spans="2:9">
      <c r="B16" s="9" t="s">
        <v>290</v>
      </c>
      <c r="C16" s="9" t="s">
        <v>281</v>
      </c>
      <c r="D16" s="10" t="s">
        <v>281</v>
      </c>
      <c r="E16" s="10" t="s">
        <v>295</v>
      </c>
      <c r="F16" s="10" t="s">
        <v>297</v>
      </c>
      <c r="G16" s="11">
        <v>1</v>
      </c>
      <c r="H16" s="11" t="s">
        <v>294</v>
      </c>
      <c r="I16" s="14">
        <v>298</v>
      </c>
    </row>
    <row r="17" spans="2:9">
      <c r="B17" s="9" t="s">
        <v>290</v>
      </c>
      <c r="C17" s="9" t="s">
        <v>281</v>
      </c>
      <c r="D17" s="10" t="s">
        <v>281</v>
      </c>
      <c r="E17" s="10" t="s">
        <v>295</v>
      </c>
      <c r="F17" s="10" t="s">
        <v>297</v>
      </c>
      <c r="G17" s="11">
        <v>5</v>
      </c>
      <c r="H17" s="11" t="s">
        <v>294</v>
      </c>
      <c r="I17" s="14">
        <v>1000</v>
      </c>
    </row>
    <row r="18" spans="2:9">
      <c r="B18" s="9" t="s">
        <v>290</v>
      </c>
      <c r="C18" s="9" t="s">
        <v>281</v>
      </c>
      <c r="D18" s="10" t="s">
        <v>281</v>
      </c>
      <c r="E18" s="10" t="s">
        <v>295</v>
      </c>
      <c r="F18" s="10" t="s">
        <v>297</v>
      </c>
      <c r="G18" s="11">
        <v>15</v>
      </c>
      <c r="H18" s="11" t="s">
        <v>294</v>
      </c>
      <c r="I18" s="14">
        <v>3000</v>
      </c>
    </row>
    <row r="19" spans="2:9">
      <c r="B19" s="9" t="s">
        <v>290</v>
      </c>
      <c r="C19" s="9" t="s">
        <v>281</v>
      </c>
      <c r="D19" s="10" t="s">
        <v>281</v>
      </c>
      <c r="E19" s="10" t="s">
        <v>295</v>
      </c>
      <c r="F19" s="10" t="s">
        <v>297</v>
      </c>
      <c r="G19" s="11">
        <v>25</v>
      </c>
      <c r="H19" s="11" t="s">
        <v>294</v>
      </c>
      <c r="I19" s="14">
        <v>5000</v>
      </c>
    </row>
    <row r="20" spans="2:9">
      <c r="B20" s="9" t="s">
        <v>290</v>
      </c>
      <c r="C20" s="9" t="s">
        <v>281</v>
      </c>
      <c r="D20" s="10" t="s">
        <v>281</v>
      </c>
      <c r="E20" s="10" t="s">
        <v>295</v>
      </c>
      <c r="F20" s="10" t="s">
        <v>297</v>
      </c>
      <c r="G20" s="11">
        <v>50</v>
      </c>
      <c r="H20" s="11" t="s">
        <v>294</v>
      </c>
      <c r="I20" s="14">
        <v>10000</v>
      </c>
    </row>
    <row r="21" spans="2:9">
      <c r="B21" s="9" t="s">
        <v>290</v>
      </c>
      <c r="C21" s="9" t="s">
        <v>281</v>
      </c>
      <c r="D21" s="10" t="s">
        <v>298</v>
      </c>
      <c r="E21" s="10" t="s">
        <v>295</v>
      </c>
      <c r="F21" s="10" t="s">
        <v>299</v>
      </c>
      <c r="G21" s="11">
        <v>1</v>
      </c>
      <c r="H21" s="12" t="s">
        <v>293</v>
      </c>
      <c r="I21" s="13">
        <v>498</v>
      </c>
    </row>
    <row r="22" spans="2:9">
      <c r="B22" s="9" t="s">
        <v>290</v>
      </c>
      <c r="C22" s="9" t="s">
        <v>281</v>
      </c>
      <c r="D22" s="10" t="s">
        <v>298</v>
      </c>
      <c r="E22" s="10" t="s">
        <v>295</v>
      </c>
      <c r="F22" s="10" t="s">
        <v>299</v>
      </c>
      <c r="G22" s="11">
        <v>1</v>
      </c>
      <c r="H22" s="11" t="s">
        <v>294</v>
      </c>
      <c r="I22" s="14">
        <v>298</v>
      </c>
    </row>
    <row r="23" spans="2:9">
      <c r="B23" s="9" t="s">
        <v>290</v>
      </c>
      <c r="C23" s="9" t="s">
        <v>281</v>
      </c>
      <c r="D23" s="10" t="s">
        <v>298</v>
      </c>
      <c r="E23" s="10" t="s">
        <v>295</v>
      </c>
      <c r="F23" s="10" t="s">
        <v>299</v>
      </c>
      <c r="G23" s="11">
        <v>15</v>
      </c>
      <c r="H23" s="11" t="s">
        <v>294</v>
      </c>
      <c r="I23" s="14">
        <v>3000</v>
      </c>
    </row>
    <row r="24" spans="2:9">
      <c r="B24" s="9" t="s">
        <v>290</v>
      </c>
      <c r="C24" s="9" t="s">
        <v>281</v>
      </c>
      <c r="D24" s="10" t="s">
        <v>298</v>
      </c>
      <c r="E24" s="10" t="s">
        <v>295</v>
      </c>
      <c r="F24" s="10" t="s">
        <v>299</v>
      </c>
      <c r="G24" s="11">
        <v>25</v>
      </c>
      <c r="H24" s="11" t="s">
        <v>294</v>
      </c>
      <c r="I24" s="14">
        <v>5000</v>
      </c>
    </row>
    <row r="25" spans="2:9">
      <c r="B25" s="9" t="s">
        <v>290</v>
      </c>
      <c r="C25" s="9" t="s">
        <v>281</v>
      </c>
      <c r="D25" s="10" t="s">
        <v>298</v>
      </c>
      <c r="E25" s="10" t="s">
        <v>295</v>
      </c>
      <c r="F25" s="10" t="s">
        <v>299</v>
      </c>
      <c r="G25" s="11">
        <v>50</v>
      </c>
      <c r="H25" s="11" t="s">
        <v>294</v>
      </c>
      <c r="I25" s="14">
        <v>10000</v>
      </c>
    </row>
    <row r="26" spans="2:9">
      <c r="B26" s="9" t="s">
        <v>290</v>
      </c>
      <c r="C26" s="9" t="s">
        <v>281</v>
      </c>
      <c r="D26" s="10" t="s">
        <v>298</v>
      </c>
      <c r="E26" s="10" t="s">
        <v>295</v>
      </c>
      <c r="F26" s="10" t="s">
        <v>300</v>
      </c>
      <c r="G26" s="11">
        <v>1</v>
      </c>
      <c r="H26" s="12" t="s">
        <v>293</v>
      </c>
      <c r="I26" s="13">
        <v>498</v>
      </c>
    </row>
    <row r="27" spans="2:9">
      <c r="B27" s="9" t="s">
        <v>290</v>
      </c>
      <c r="C27" s="9" t="s">
        <v>281</v>
      </c>
      <c r="D27" s="10" t="s">
        <v>298</v>
      </c>
      <c r="E27" s="10" t="s">
        <v>295</v>
      </c>
      <c r="F27" s="10" t="s">
        <v>300</v>
      </c>
      <c r="G27" s="11">
        <v>1</v>
      </c>
      <c r="H27" s="11" t="s">
        <v>294</v>
      </c>
      <c r="I27" s="14">
        <v>298</v>
      </c>
    </row>
    <row r="28" spans="2:9">
      <c r="B28" s="9" t="s">
        <v>290</v>
      </c>
      <c r="C28" s="9" t="s">
        <v>281</v>
      </c>
      <c r="D28" s="10" t="s">
        <v>298</v>
      </c>
      <c r="E28" s="10" t="s">
        <v>295</v>
      </c>
      <c r="F28" s="10" t="s">
        <v>300</v>
      </c>
      <c r="G28" s="11">
        <v>15</v>
      </c>
      <c r="H28" s="11" t="s">
        <v>294</v>
      </c>
      <c r="I28" s="14">
        <v>3000</v>
      </c>
    </row>
    <row r="29" spans="2:9">
      <c r="B29" s="9" t="s">
        <v>290</v>
      </c>
      <c r="C29" s="9" t="s">
        <v>281</v>
      </c>
      <c r="D29" s="10" t="s">
        <v>298</v>
      </c>
      <c r="E29" s="10" t="s">
        <v>295</v>
      </c>
      <c r="F29" s="10" t="s">
        <v>300</v>
      </c>
      <c r="G29" s="11">
        <v>25</v>
      </c>
      <c r="H29" s="11" t="s">
        <v>294</v>
      </c>
      <c r="I29" s="14">
        <v>5000</v>
      </c>
    </row>
    <row r="30" spans="2:9">
      <c r="B30" s="9" t="s">
        <v>290</v>
      </c>
      <c r="C30" s="9" t="s">
        <v>281</v>
      </c>
      <c r="D30" s="10" t="s">
        <v>298</v>
      </c>
      <c r="E30" s="10" t="s">
        <v>295</v>
      </c>
      <c r="F30" s="10" t="s">
        <v>300</v>
      </c>
      <c r="G30" s="11">
        <v>50</v>
      </c>
      <c r="H30" s="11" t="s">
        <v>294</v>
      </c>
      <c r="I30" s="14">
        <v>10000</v>
      </c>
    </row>
    <row r="31" spans="2:9">
      <c r="B31" s="9" t="s">
        <v>290</v>
      </c>
      <c r="C31" s="9" t="s">
        <v>281</v>
      </c>
      <c r="D31" s="15" t="s">
        <v>281</v>
      </c>
      <c r="E31" s="15" t="s">
        <v>301</v>
      </c>
      <c r="F31" s="15" t="s">
        <v>302</v>
      </c>
      <c r="G31" s="16">
        <v>10</v>
      </c>
      <c r="H31" s="16" t="s">
        <v>294</v>
      </c>
      <c r="I31" s="17">
        <v>1990</v>
      </c>
    </row>
    <row r="32" spans="2:9">
      <c r="B32" s="9" t="s">
        <v>290</v>
      </c>
      <c r="C32" s="9" t="s">
        <v>281</v>
      </c>
      <c r="D32" s="15" t="s">
        <v>281</v>
      </c>
      <c r="E32" s="15" t="s">
        <v>301</v>
      </c>
      <c r="F32" s="15" t="s">
        <v>302</v>
      </c>
      <c r="G32" s="16">
        <v>25</v>
      </c>
      <c r="H32" s="16" t="s">
        <v>294</v>
      </c>
      <c r="I32" s="17">
        <v>5000</v>
      </c>
    </row>
    <row r="33" spans="2:9">
      <c r="B33" s="9" t="s">
        <v>290</v>
      </c>
      <c r="C33" s="9" t="s">
        <v>281</v>
      </c>
      <c r="D33" s="15" t="s">
        <v>281</v>
      </c>
      <c r="E33" s="15" t="s">
        <v>301</v>
      </c>
      <c r="F33" s="15" t="s">
        <v>302</v>
      </c>
      <c r="G33" s="16">
        <v>50</v>
      </c>
      <c r="H33" s="16" t="s">
        <v>294</v>
      </c>
      <c r="I33" s="17">
        <v>10000</v>
      </c>
    </row>
    <row r="34" spans="2:9">
      <c r="B34" s="9" t="s">
        <v>290</v>
      </c>
      <c r="C34" s="9" t="s">
        <v>281</v>
      </c>
      <c r="D34" s="18" t="s">
        <v>298</v>
      </c>
      <c r="E34" s="18" t="s">
        <v>303</v>
      </c>
      <c r="F34" s="10" t="s">
        <v>304</v>
      </c>
      <c r="G34" s="11">
        <v>1</v>
      </c>
      <c r="H34" s="12" t="s">
        <v>293</v>
      </c>
      <c r="I34" s="13">
        <v>398</v>
      </c>
    </row>
    <row r="35" spans="2:9">
      <c r="B35" s="9" t="s">
        <v>290</v>
      </c>
      <c r="C35" s="9" t="s">
        <v>281</v>
      </c>
      <c r="D35" s="18" t="s">
        <v>298</v>
      </c>
      <c r="E35" s="18" t="s">
        <v>303</v>
      </c>
      <c r="F35" s="10" t="s">
        <v>304</v>
      </c>
      <c r="G35" s="11">
        <v>1</v>
      </c>
      <c r="H35" s="11" t="s">
        <v>294</v>
      </c>
      <c r="I35" s="14">
        <v>298</v>
      </c>
    </row>
    <row r="36" spans="2:9">
      <c r="B36" s="9" t="s">
        <v>290</v>
      </c>
      <c r="C36" s="9" t="s">
        <v>281</v>
      </c>
      <c r="D36" s="18" t="s">
        <v>298</v>
      </c>
      <c r="E36" s="18" t="s">
        <v>303</v>
      </c>
      <c r="F36" s="10" t="s">
        <v>304</v>
      </c>
      <c r="G36" s="11">
        <v>15</v>
      </c>
      <c r="H36" s="11" t="s">
        <v>294</v>
      </c>
      <c r="I36" s="14">
        <v>3000</v>
      </c>
    </row>
    <row r="37" spans="2:9">
      <c r="B37" s="9" t="s">
        <v>290</v>
      </c>
      <c r="C37" s="9" t="s">
        <v>281</v>
      </c>
      <c r="D37" s="18" t="s">
        <v>298</v>
      </c>
      <c r="E37" s="18" t="s">
        <v>303</v>
      </c>
      <c r="F37" s="10" t="s">
        <v>304</v>
      </c>
      <c r="G37" s="11">
        <v>25</v>
      </c>
      <c r="H37" s="11" t="s">
        <v>294</v>
      </c>
      <c r="I37" s="14">
        <v>5000</v>
      </c>
    </row>
    <row r="38" spans="2:9">
      <c r="B38" s="9" t="s">
        <v>290</v>
      </c>
      <c r="C38" s="9" t="s">
        <v>281</v>
      </c>
      <c r="D38" s="18" t="s">
        <v>298</v>
      </c>
      <c r="E38" s="18" t="s">
        <v>303</v>
      </c>
      <c r="F38" s="10" t="s">
        <v>304</v>
      </c>
      <c r="G38" s="11">
        <v>50</v>
      </c>
      <c r="H38" s="11" t="s">
        <v>294</v>
      </c>
      <c r="I38" s="14">
        <v>10000</v>
      </c>
    </row>
    <row r="39" spans="2:9">
      <c r="B39" s="9" t="s">
        <v>290</v>
      </c>
      <c r="C39" s="9" t="s">
        <v>281</v>
      </c>
      <c r="D39" s="18" t="s">
        <v>298</v>
      </c>
      <c r="E39" s="18" t="s">
        <v>303</v>
      </c>
      <c r="F39" s="10" t="s">
        <v>305</v>
      </c>
      <c r="G39" s="11">
        <v>1</v>
      </c>
      <c r="H39" s="12" t="s">
        <v>293</v>
      </c>
      <c r="I39" s="13">
        <v>398</v>
      </c>
    </row>
    <row r="40" spans="2:9">
      <c r="B40" s="9" t="s">
        <v>290</v>
      </c>
      <c r="C40" s="9" t="s">
        <v>281</v>
      </c>
      <c r="D40" s="18" t="s">
        <v>298</v>
      </c>
      <c r="E40" s="18" t="s">
        <v>303</v>
      </c>
      <c r="F40" s="10" t="s">
        <v>305</v>
      </c>
      <c r="G40" s="11">
        <v>1</v>
      </c>
      <c r="H40" s="11" t="s">
        <v>294</v>
      </c>
      <c r="I40" s="14">
        <v>298</v>
      </c>
    </row>
    <row r="41" spans="2:9">
      <c r="B41" s="9" t="s">
        <v>290</v>
      </c>
      <c r="C41" s="9" t="s">
        <v>281</v>
      </c>
      <c r="D41" s="18" t="s">
        <v>298</v>
      </c>
      <c r="E41" s="18" t="s">
        <v>303</v>
      </c>
      <c r="F41" s="10" t="s">
        <v>305</v>
      </c>
      <c r="G41" s="11">
        <v>15</v>
      </c>
      <c r="H41" s="11" t="s">
        <v>294</v>
      </c>
      <c r="I41" s="14">
        <v>3000</v>
      </c>
    </row>
    <row r="42" spans="2:9">
      <c r="B42" s="9" t="s">
        <v>290</v>
      </c>
      <c r="C42" s="9" t="s">
        <v>281</v>
      </c>
      <c r="D42" s="18" t="s">
        <v>298</v>
      </c>
      <c r="E42" s="18" t="s">
        <v>303</v>
      </c>
      <c r="F42" s="10" t="s">
        <v>305</v>
      </c>
      <c r="G42" s="11">
        <v>25</v>
      </c>
      <c r="H42" s="11" t="s">
        <v>294</v>
      </c>
      <c r="I42" s="14">
        <v>5000</v>
      </c>
    </row>
    <row r="43" spans="2:9">
      <c r="B43" s="9" t="s">
        <v>290</v>
      </c>
      <c r="C43" s="9" t="s">
        <v>281</v>
      </c>
      <c r="D43" s="18" t="s">
        <v>298</v>
      </c>
      <c r="E43" s="18" t="s">
        <v>303</v>
      </c>
      <c r="F43" s="10" t="s">
        <v>305</v>
      </c>
      <c r="G43" s="11">
        <v>50</v>
      </c>
      <c r="H43" s="11" t="s">
        <v>294</v>
      </c>
      <c r="I43" s="14">
        <v>10000</v>
      </c>
    </row>
    <row r="44" spans="2:9">
      <c r="B44" s="9" t="s">
        <v>290</v>
      </c>
      <c r="C44" s="9" t="s">
        <v>281</v>
      </c>
      <c r="D44" s="18" t="s">
        <v>298</v>
      </c>
      <c r="E44" s="18" t="s">
        <v>303</v>
      </c>
      <c r="F44" s="10" t="s">
        <v>306</v>
      </c>
      <c r="G44" s="11">
        <v>1</v>
      </c>
      <c r="H44" s="12" t="s">
        <v>293</v>
      </c>
      <c r="I44" s="13">
        <v>398</v>
      </c>
    </row>
    <row r="45" spans="2:9">
      <c r="B45" s="9" t="s">
        <v>290</v>
      </c>
      <c r="C45" s="9" t="s">
        <v>281</v>
      </c>
      <c r="D45" s="18" t="s">
        <v>298</v>
      </c>
      <c r="E45" s="18" t="s">
        <v>303</v>
      </c>
      <c r="F45" s="10" t="s">
        <v>306</v>
      </c>
      <c r="G45" s="11">
        <v>1</v>
      </c>
      <c r="H45" s="11" t="s">
        <v>294</v>
      </c>
      <c r="I45" s="14">
        <v>298</v>
      </c>
    </row>
    <row r="46" spans="2:9">
      <c r="B46" s="9" t="s">
        <v>290</v>
      </c>
      <c r="C46" s="9" t="s">
        <v>281</v>
      </c>
      <c r="D46" s="18" t="s">
        <v>298</v>
      </c>
      <c r="E46" s="18" t="s">
        <v>303</v>
      </c>
      <c r="F46" s="10" t="s">
        <v>306</v>
      </c>
      <c r="G46" s="11">
        <v>15</v>
      </c>
      <c r="H46" s="11" t="s">
        <v>294</v>
      </c>
      <c r="I46" s="14">
        <v>3000</v>
      </c>
    </row>
    <row r="47" spans="2:9">
      <c r="B47" s="9" t="s">
        <v>290</v>
      </c>
      <c r="C47" s="9" t="s">
        <v>281</v>
      </c>
      <c r="D47" s="18" t="s">
        <v>298</v>
      </c>
      <c r="E47" s="18" t="s">
        <v>303</v>
      </c>
      <c r="F47" s="10" t="s">
        <v>306</v>
      </c>
      <c r="G47" s="11">
        <v>25</v>
      </c>
      <c r="H47" s="11" t="s">
        <v>294</v>
      </c>
      <c r="I47" s="14">
        <v>5000</v>
      </c>
    </row>
    <row r="48" spans="2:9">
      <c r="B48" s="9" t="s">
        <v>290</v>
      </c>
      <c r="C48" s="9" t="s">
        <v>281</v>
      </c>
      <c r="D48" s="18" t="s">
        <v>298</v>
      </c>
      <c r="E48" s="18" t="s">
        <v>303</v>
      </c>
      <c r="F48" s="10" t="s">
        <v>306</v>
      </c>
      <c r="G48" s="11">
        <v>50</v>
      </c>
      <c r="H48" s="11" t="s">
        <v>294</v>
      </c>
      <c r="I48" s="14">
        <v>10000</v>
      </c>
    </row>
    <row r="49" spans="2:9">
      <c r="B49" s="9" t="s">
        <v>290</v>
      </c>
      <c r="C49" s="9" t="s">
        <v>307</v>
      </c>
      <c r="D49" s="19" t="s">
        <v>128</v>
      </c>
      <c r="E49" s="11" t="s">
        <v>308</v>
      </c>
      <c r="F49" s="10" t="s">
        <v>309</v>
      </c>
      <c r="G49" s="11">
        <v>1</v>
      </c>
      <c r="H49" s="12" t="s">
        <v>293</v>
      </c>
      <c r="I49" s="13">
        <v>580</v>
      </c>
    </row>
    <row r="50" spans="2:9">
      <c r="B50" s="9" t="s">
        <v>290</v>
      </c>
      <c r="C50" s="9" t="s">
        <v>307</v>
      </c>
      <c r="D50" s="19" t="s">
        <v>128</v>
      </c>
      <c r="E50" s="11" t="s">
        <v>308</v>
      </c>
      <c r="F50" s="10" t="s">
        <v>309</v>
      </c>
      <c r="G50" s="11">
        <v>1</v>
      </c>
      <c r="H50" s="11" t="s">
        <v>294</v>
      </c>
      <c r="I50" s="14">
        <v>398</v>
      </c>
    </row>
    <row r="51" spans="2:9">
      <c r="B51" s="9" t="s">
        <v>290</v>
      </c>
      <c r="C51" s="9" t="s">
        <v>307</v>
      </c>
      <c r="D51" s="19" t="s">
        <v>128</v>
      </c>
      <c r="E51" s="11" t="s">
        <v>308</v>
      </c>
      <c r="F51" s="10" t="s">
        <v>309</v>
      </c>
      <c r="G51" s="11">
        <v>10</v>
      </c>
      <c r="H51" s="11" t="s">
        <v>294</v>
      </c>
      <c r="I51" s="14">
        <v>3000</v>
      </c>
    </row>
    <row r="52" spans="2:9">
      <c r="B52" s="9" t="s">
        <v>290</v>
      </c>
      <c r="C52" s="9" t="s">
        <v>307</v>
      </c>
      <c r="D52" s="19" t="s">
        <v>128</v>
      </c>
      <c r="E52" s="11" t="s">
        <v>310</v>
      </c>
      <c r="F52" s="10" t="s">
        <v>311</v>
      </c>
      <c r="G52" s="11">
        <v>1</v>
      </c>
      <c r="H52" s="12" t="s">
        <v>293</v>
      </c>
      <c r="I52" s="13">
        <v>880</v>
      </c>
    </row>
    <row r="53" spans="2:9">
      <c r="B53" s="9" t="s">
        <v>290</v>
      </c>
      <c r="C53" s="9" t="s">
        <v>307</v>
      </c>
      <c r="D53" s="19" t="s">
        <v>128</v>
      </c>
      <c r="E53" s="11" t="s">
        <v>310</v>
      </c>
      <c r="F53" s="10" t="s">
        <v>311</v>
      </c>
      <c r="G53" s="11">
        <v>1</v>
      </c>
      <c r="H53" s="11" t="s">
        <v>294</v>
      </c>
      <c r="I53" s="14">
        <v>598</v>
      </c>
    </row>
    <row r="54" spans="2:9">
      <c r="B54" s="9" t="s">
        <v>290</v>
      </c>
      <c r="C54" s="9" t="s">
        <v>307</v>
      </c>
      <c r="D54" s="19" t="s">
        <v>128</v>
      </c>
      <c r="E54" s="11" t="s">
        <v>310</v>
      </c>
      <c r="F54" s="10" t="s">
        <v>311</v>
      </c>
      <c r="G54" s="11">
        <v>10</v>
      </c>
      <c r="H54" s="11" t="s">
        <v>294</v>
      </c>
      <c r="I54" s="14">
        <v>5000</v>
      </c>
    </row>
    <row r="55" spans="2:9">
      <c r="B55" s="9" t="s">
        <v>290</v>
      </c>
      <c r="C55" s="9" t="s">
        <v>307</v>
      </c>
      <c r="D55" s="19" t="s">
        <v>128</v>
      </c>
      <c r="E55" s="11" t="s">
        <v>310</v>
      </c>
      <c r="F55" s="10" t="s">
        <v>311</v>
      </c>
      <c r="G55" s="11">
        <v>20</v>
      </c>
      <c r="H55" s="11" t="s">
        <v>294</v>
      </c>
      <c r="I55" s="14">
        <v>10000</v>
      </c>
    </row>
    <row r="56" spans="2:9">
      <c r="B56" s="9" t="s">
        <v>290</v>
      </c>
      <c r="C56" s="9" t="s">
        <v>307</v>
      </c>
      <c r="D56" s="19" t="s">
        <v>128</v>
      </c>
      <c r="E56" s="11" t="s">
        <v>310</v>
      </c>
      <c r="F56" s="10" t="s">
        <v>311</v>
      </c>
      <c r="G56" s="11">
        <v>30</v>
      </c>
      <c r="H56" s="11" t="s">
        <v>294</v>
      </c>
      <c r="I56" s="14">
        <v>15000</v>
      </c>
    </row>
    <row r="57" spans="2:9">
      <c r="B57" s="9" t="s">
        <v>290</v>
      </c>
      <c r="C57" s="9" t="s">
        <v>307</v>
      </c>
      <c r="D57" s="19" t="s">
        <v>128</v>
      </c>
      <c r="E57" s="11" t="s">
        <v>310</v>
      </c>
      <c r="F57" s="10" t="s">
        <v>311</v>
      </c>
      <c r="G57" s="11">
        <v>50</v>
      </c>
      <c r="H57" s="11" t="s">
        <v>294</v>
      </c>
      <c r="I57" s="14">
        <v>25000</v>
      </c>
    </row>
    <row r="58" spans="2:9">
      <c r="B58" s="9" t="s">
        <v>290</v>
      </c>
      <c r="C58" s="9" t="s">
        <v>307</v>
      </c>
      <c r="D58" s="19" t="s">
        <v>128</v>
      </c>
      <c r="E58" s="11" t="s">
        <v>312</v>
      </c>
      <c r="F58" s="10" t="s">
        <v>313</v>
      </c>
      <c r="G58" s="11">
        <v>1</v>
      </c>
      <c r="H58" s="12" t="s">
        <v>293</v>
      </c>
      <c r="I58" s="13">
        <v>1280</v>
      </c>
    </row>
    <row r="59" spans="2:9">
      <c r="B59" s="9" t="s">
        <v>290</v>
      </c>
      <c r="C59" s="9" t="s">
        <v>307</v>
      </c>
      <c r="D59" s="19" t="s">
        <v>128</v>
      </c>
      <c r="E59" s="11" t="s">
        <v>312</v>
      </c>
      <c r="F59" s="10" t="s">
        <v>313</v>
      </c>
      <c r="G59" s="11">
        <v>1</v>
      </c>
      <c r="H59" s="11" t="s">
        <v>294</v>
      </c>
      <c r="I59" s="14">
        <v>980</v>
      </c>
    </row>
    <row r="60" spans="2:9">
      <c r="B60" s="9" t="s">
        <v>290</v>
      </c>
      <c r="C60" s="9" t="s">
        <v>307</v>
      </c>
      <c r="D60" s="19" t="s">
        <v>128</v>
      </c>
      <c r="E60" s="11" t="s">
        <v>312</v>
      </c>
      <c r="F60" s="10" t="s">
        <v>313</v>
      </c>
      <c r="G60" s="11">
        <v>10</v>
      </c>
      <c r="H60" s="11" t="s">
        <v>294</v>
      </c>
      <c r="I60" s="14">
        <v>8000</v>
      </c>
    </row>
    <row r="61" spans="2:9">
      <c r="B61" s="9" t="s">
        <v>290</v>
      </c>
      <c r="C61" s="9" t="s">
        <v>307</v>
      </c>
      <c r="D61" s="19" t="s">
        <v>128</v>
      </c>
      <c r="E61" s="11" t="s">
        <v>312</v>
      </c>
      <c r="F61" s="10" t="s">
        <v>313</v>
      </c>
      <c r="G61" s="11">
        <v>20</v>
      </c>
      <c r="H61" s="11" t="s">
        <v>294</v>
      </c>
      <c r="I61" s="14">
        <v>16000</v>
      </c>
    </row>
    <row r="62" spans="2:9">
      <c r="B62" s="9" t="s">
        <v>290</v>
      </c>
      <c r="C62" s="9" t="s">
        <v>307</v>
      </c>
      <c r="D62" s="19" t="s">
        <v>128</v>
      </c>
      <c r="E62" s="11" t="s">
        <v>312</v>
      </c>
      <c r="F62" s="10" t="s">
        <v>313</v>
      </c>
      <c r="G62" s="11">
        <v>30</v>
      </c>
      <c r="H62" s="11" t="s">
        <v>294</v>
      </c>
      <c r="I62" s="14">
        <v>24000</v>
      </c>
    </row>
    <row r="63" spans="2:9">
      <c r="B63" s="9" t="s">
        <v>290</v>
      </c>
      <c r="C63" s="9" t="s">
        <v>307</v>
      </c>
      <c r="D63" s="19" t="s">
        <v>128</v>
      </c>
      <c r="E63" s="11" t="s">
        <v>312</v>
      </c>
      <c r="F63" s="10" t="s">
        <v>313</v>
      </c>
      <c r="G63" s="11">
        <v>50</v>
      </c>
      <c r="H63" s="11" t="s">
        <v>294</v>
      </c>
      <c r="I63" s="14">
        <v>40000</v>
      </c>
    </row>
    <row r="64" spans="2:9">
      <c r="B64" s="9" t="s">
        <v>290</v>
      </c>
      <c r="C64" s="9" t="s">
        <v>307</v>
      </c>
      <c r="D64" s="19" t="s">
        <v>128</v>
      </c>
      <c r="E64" s="11" t="s">
        <v>314</v>
      </c>
      <c r="F64" s="10" t="s">
        <v>315</v>
      </c>
      <c r="G64" s="11">
        <v>1</v>
      </c>
      <c r="H64" s="12" t="s">
        <v>293</v>
      </c>
      <c r="I64" s="13">
        <v>880</v>
      </c>
    </row>
    <row r="65" spans="2:9">
      <c r="B65" s="9" t="s">
        <v>290</v>
      </c>
      <c r="C65" s="9" t="s">
        <v>307</v>
      </c>
      <c r="D65" s="19" t="s">
        <v>128</v>
      </c>
      <c r="E65" s="11" t="s">
        <v>314</v>
      </c>
      <c r="F65" s="10" t="s">
        <v>315</v>
      </c>
      <c r="G65" s="11">
        <v>1</v>
      </c>
      <c r="H65" s="11" t="s">
        <v>294</v>
      </c>
      <c r="I65" s="14">
        <v>598</v>
      </c>
    </row>
    <row r="66" spans="2:9">
      <c r="B66" s="9" t="s">
        <v>290</v>
      </c>
      <c r="C66" s="9" t="s">
        <v>307</v>
      </c>
      <c r="D66" s="19" t="s">
        <v>128</v>
      </c>
      <c r="E66" s="11" t="s">
        <v>314</v>
      </c>
      <c r="F66" s="10" t="s">
        <v>315</v>
      </c>
      <c r="G66" s="11">
        <v>10</v>
      </c>
      <c r="H66" s="11" t="s">
        <v>294</v>
      </c>
      <c r="I66" s="14">
        <v>5000</v>
      </c>
    </row>
    <row r="67" spans="2:9">
      <c r="B67" s="9" t="s">
        <v>290</v>
      </c>
      <c r="C67" s="9" t="s">
        <v>307</v>
      </c>
      <c r="D67" s="19" t="s">
        <v>128</v>
      </c>
      <c r="E67" s="11" t="s">
        <v>314</v>
      </c>
      <c r="F67" s="10" t="s">
        <v>315</v>
      </c>
      <c r="G67" s="11">
        <v>20</v>
      </c>
      <c r="H67" s="11" t="s">
        <v>294</v>
      </c>
      <c r="I67" s="14">
        <v>10000</v>
      </c>
    </row>
    <row r="68" spans="2:9">
      <c r="B68" s="9" t="s">
        <v>290</v>
      </c>
      <c r="C68" s="9" t="s">
        <v>307</v>
      </c>
      <c r="D68" s="19" t="s">
        <v>128</v>
      </c>
      <c r="E68" s="11" t="s">
        <v>314</v>
      </c>
      <c r="F68" s="10" t="s">
        <v>315</v>
      </c>
      <c r="G68" s="11">
        <v>30</v>
      </c>
      <c r="H68" s="11" t="s">
        <v>294</v>
      </c>
      <c r="I68" s="14">
        <v>15000</v>
      </c>
    </row>
    <row r="69" spans="2:9">
      <c r="B69" s="9" t="s">
        <v>290</v>
      </c>
      <c r="C69" s="9" t="s">
        <v>307</v>
      </c>
      <c r="D69" s="19" t="s">
        <v>128</v>
      </c>
      <c r="E69" s="11" t="s">
        <v>314</v>
      </c>
      <c r="F69" s="10" t="s">
        <v>315</v>
      </c>
      <c r="G69" s="11">
        <v>50</v>
      </c>
      <c r="H69" s="11" t="s">
        <v>294</v>
      </c>
      <c r="I69" s="14">
        <v>25000</v>
      </c>
    </row>
    <row r="70" spans="2:9">
      <c r="B70" s="9" t="s">
        <v>290</v>
      </c>
      <c r="C70" s="9" t="s">
        <v>307</v>
      </c>
      <c r="D70" s="19" t="s">
        <v>128</v>
      </c>
      <c r="E70" s="11" t="s">
        <v>314</v>
      </c>
      <c r="F70" s="10" t="s">
        <v>316</v>
      </c>
      <c r="G70" s="11">
        <v>1</v>
      </c>
      <c r="H70" s="12" t="s">
        <v>293</v>
      </c>
      <c r="I70" s="13">
        <v>880</v>
      </c>
    </row>
    <row r="71" spans="2:9">
      <c r="B71" s="9" t="s">
        <v>290</v>
      </c>
      <c r="C71" s="9" t="s">
        <v>307</v>
      </c>
      <c r="D71" s="19" t="s">
        <v>128</v>
      </c>
      <c r="E71" s="11" t="s">
        <v>314</v>
      </c>
      <c r="F71" s="10" t="s">
        <v>316</v>
      </c>
      <c r="G71" s="11">
        <v>1</v>
      </c>
      <c r="H71" s="11" t="s">
        <v>294</v>
      </c>
      <c r="I71" s="14">
        <v>598</v>
      </c>
    </row>
    <row r="72" spans="2:9">
      <c r="B72" s="9" t="s">
        <v>290</v>
      </c>
      <c r="C72" s="9" t="s">
        <v>307</v>
      </c>
      <c r="D72" s="19" t="s">
        <v>128</v>
      </c>
      <c r="E72" s="11" t="s">
        <v>314</v>
      </c>
      <c r="F72" s="10" t="s">
        <v>316</v>
      </c>
      <c r="G72" s="11">
        <v>10</v>
      </c>
      <c r="H72" s="11" t="s">
        <v>294</v>
      </c>
      <c r="I72" s="14">
        <v>5000</v>
      </c>
    </row>
    <row r="73" spans="2:9">
      <c r="B73" s="9" t="s">
        <v>290</v>
      </c>
      <c r="C73" s="9" t="s">
        <v>307</v>
      </c>
      <c r="D73" s="19" t="s">
        <v>128</v>
      </c>
      <c r="E73" s="11" t="s">
        <v>314</v>
      </c>
      <c r="F73" s="10" t="s">
        <v>316</v>
      </c>
      <c r="G73" s="11">
        <v>20</v>
      </c>
      <c r="H73" s="11" t="s">
        <v>294</v>
      </c>
      <c r="I73" s="14">
        <v>10000</v>
      </c>
    </row>
    <row r="74" spans="2:9">
      <c r="B74" s="9" t="s">
        <v>290</v>
      </c>
      <c r="C74" s="9" t="s">
        <v>307</v>
      </c>
      <c r="D74" s="19" t="s">
        <v>128</v>
      </c>
      <c r="E74" s="11" t="s">
        <v>314</v>
      </c>
      <c r="F74" s="10" t="s">
        <v>316</v>
      </c>
      <c r="G74" s="11">
        <v>30</v>
      </c>
      <c r="H74" s="11" t="s">
        <v>294</v>
      </c>
      <c r="I74" s="14">
        <v>15000</v>
      </c>
    </row>
    <row r="75" spans="2:9">
      <c r="B75" s="9" t="s">
        <v>290</v>
      </c>
      <c r="C75" s="9" t="s">
        <v>307</v>
      </c>
      <c r="D75" s="19" t="s">
        <v>128</v>
      </c>
      <c r="E75" s="11" t="s">
        <v>314</v>
      </c>
      <c r="F75" s="10" t="s">
        <v>316</v>
      </c>
      <c r="G75" s="11">
        <v>50</v>
      </c>
      <c r="H75" s="11" t="s">
        <v>294</v>
      </c>
      <c r="I75" s="14">
        <v>25000</v>
      </c>
    </row>
    <row r="76" spans="2:9">
      <c r="B76" s="9" t="s">
        <v>290</v>
      </c>
      <c r="C76" s="9" t="s">
        <v>307</v>
      </c>
      <c r="D76" s="19" t="s">
        <v>128</v>
      </c>
      <c r="E76" s="12" t="s">
        <v>317</v>
      </c>
      <c r="F76" s="10" t="s">
        <v>318</v>
      </c>
      <c r="G76" s="11">
        <v>1</v>
      </c>
      <c r="H76" s="12" t="s">
        <v>293</v>
      </c>
      <c r="I76" s="13">
        <v>880</v>
      </c>
    </row>
    <row r="77" spans="2:9">
      <c r="B77" s="9" t="s">
        <v>290</v>
      </c>
      <c r="C77" s="9" t="s">
        <v>307</v>
      </c>
      <c r="D77" s="19" t="s">
        <v>128</v>
      </c>
      <c r="E77" s="12" t="s">
        <v>317</v>
      </c>
      <c r="F77" s="10" t="s">
        <v>318</v>
      </c>
      <c r="G77" s="11">
        <v>1</v>
      </c>
      <c r="H77" s="11" t="s">
        <v>294</v>
      </c>
      <c r="I77" s="14">
        <v>0</v>
      </c>
    </row>
    <row r="78" spans="2:9">
      <c r="B78" s="9" t="s">
        <v>290</v>
      </c>
      <c r="C78" s="9" t="s">
        <v>307</v>
      </c>
      <c r="D78" s="20" t="s">
        <v>128</v>
      </c>
      <c r="E78" s="18" t="s">
        <v>317</v>
      </c>
      <c r="F78" s="15" t="s">
        <v>319</v>
      </c>
      <c r="G78" s="16">
        <v>1</v>
      </c>
      <c r="H78" s="16" t="s">
        <v>320</v>
      </c>
      <c r="I78" s="17">
        <v>0</v>
      </c>
    </row>
    <row r="79" spans="2:9">
      <c r="B79" s="9" t="s">
        <v>290</v>
      </c>
      <c r="C79" s="9" t="s">
        <v>307</v>
      </c>
      <c r="D79" s="20" t="s">
        <v>128</v>
      </c>
      <c r="E79" s="18" t="s">
        <v>317</v>
      </c>
      <c r="F79" s="15" t="s">
        <v>321</v>
      </c>
      <c r="G79" s="16">
        <v>1</v>
      </c>
      <c r="H79" s="16" t="s">
        <v>320</v>
      </c>
      <c r="I79" s="17">
        <v>99</v>
      </c>
    </row>
    <row r="80" spans="2:9">
      <c r="B80" s="9" t="s">
        <v>290</v>
      </c>
      <c r="C80" s="9" t="s">
        <v>307</v>
      </c>
      <c r="D80" s="11" t="s">
        <v>129</v>
      </c>
      <c r="E80" s="10" t="s">
        <v>322</v>
      </c>
      <c r="F80" s="10" t="s">
        <v>323</v>
      </c>
      <c r="G80" s="11">
        <v>1</v>
      </c>
      <c r="H80" s="12" t="s">
        <v>293</v>
      </c>
      <c r="I80" s="13">
        <v>580</v>
      </c>
    </row>
    <row r="81" spans="2:9">
      <c r="B81" s="9" t="s">
        <v>290</v>
      </c>
      <c r="C81" s="9" t="s">
        <v>307</v>
      </c>
      <c r="D81" s="11" t="s">
        <v>129</v>
      </c>
      <c r="E81" s="10" t="s">
        <v>322</v>
      </c>
      <c r="F81" s="10" t="s">
        <v>323</v>
      </c>
      <c r="G81" s="11">
        <v>1</v>
      </c>
      <c r="H81" s="11" t="s">
        <v>294</v>
      </c>
      <c r="I81" s="14">
        <v>398</v>
      </c>
    </row>
    <row r="82" spans="2:9">
      <c r="B82" s="9" t="s">
        <v>290</v>
      </c>
      <c r="C82" s="9" t="s">
        <v>307</v>
      </c>
      <c r="D82" s="11" t="s">
        <v>129</v>
      </c>
      <c r="E82" s="10" t="s">
        <v>322</v>
      </c>
      <c r="F82" s="10" t="s">
        <v>323</v>
      </c>
      <c r="G82" s="11">
        <v>10</v>
      </c>
      <c r="H82" s="11" t="s">
        <v>294</v>
      </c>
      <c r="I82" s="14">
        <v>3000</v>
      </c>
    </row>
    <row r="83" spans="2:9">
      <c r="B83" s="9" t="s">
        <v>290</v>
      </c>
      <c r="C83" s="9" t="s">
        <v>307</v>
      </c>
      <c r="D83" s="11" t="s">
        <v>129</v>
      </c>
      <c r="E83" s="10" t="s">
        <v>322</v>
      </c>
      <c r="F83" s="10" t="s">
        <v>323</v>
      </c>
      <c r="G83" s="11">
        <v>20</v>
      </c>
      <c r="H83" s="11" t="s">
        <v>294</v>
      </c>
      <c r="I83" s="14">
        <v>6000</v>
      </c>
    </row>
    <row r="84" spans="2:9">
      <c r="B84" s="9" t="s">
        <v>290</v>
      </c>
      <c r="C84" s="9" t="s">
        <v>307</v>
      </c>
      <c r="D84" s="11" t="s">
        <v>129</v>
      </c>
      <c r="E84" s="10" t="s">
        <v>322</v>
      </c>
      <c r="F84" s="10" t="s">
        <v>323</v>
      </c>
      <c r="G84" s="11">
        <v>30</v>
      </c>
      <c r="H84" s="11" t="s">
        <v>294</v>
      </c>
      <c r="I84" s="14">
        <v>9000</v>
      </c>
    </row>
    <row r="85" spans="2:9">
      <c r="B85" s="9" t="s">
        <v>290</v>
      </c>
      <c r="C85" s="9" t="s">
        <v>307</v>
      </c>
      <c r="D85" s="11" t="s">
        <v>129</v>
      </c>
      <c r="E85" s="10" t="s">
        <v>322</v>
      </c>
      <c r="F85" s="10" t="s">
        <v>323</v>
      </c>
      <c r="G85" s="11">
        <v>50</v>
      </c>
      <c r="H85" s="11" t="s">
        <v>294</v>
      </c>
      <c r="I85" s="14">
        <v>15000</v>
      </c>
    </row>
    <row r="86" spans="2:9">
      <c r="B86" s="9" t="s">
        <v>290</v>
      </c>
      <c r="C86" s="9" t="s">
        <v>307</v>
      </c>
      <c r="D86" s="16" t="s">
        <v>129</v>
      </c>
      <c r="E86" s="15" t="s">
        <v>322</v>
      </c>
      <c r="F86" s="15" t="s">
        <v>324</v>
      </c>
      <c r="G86" s="16">
        <v>1</v>
      </c>
      <c r="H86" s="16" t="s">
        <v>320</v>
      </c>
      <c r="I86" s="17">
        <v>199</v>
      </c>
    </row>
    <row r="87" spans="2:9">
      <c r="B87" s="9" t="s">
        <v>290</v>
      </c>
      <c r="C87" s="9" t="s">
        <v>307</v>
      </c>
      <c r="D87" s="11" t="s">
        <v>129</v>
      </c>
      <c r="E87" s="10" t="s">
        <v>325</v>
      </c>
      <c r="F87" s="10" t="s">
        <v>326</v>
      </c>
      <c r="G87" s="11">
        <v>1</v>
      </c>
      <c r="H87" s="12" t="s">
        <v>293</v>
      </c>
      <c r="I87" s="13">
        <v>880</v>
      </c>
    </row>
    <row r="88" spans="2:9">
      <c r="B88" s="9" t="s">
        <v>290</v>
      </c>
      <c r="C88" s="9" t="s">
        <v>307</v>
      </c>
      <c r="D88" s="11" t="s">
        <v>129</v>
      </c>
      <c r="E88" s="10" t="s">
        <v>325</v>
      </c>
      <c r="F88" s="10" t="s">
        <v>326</v>
      </c>
      <c r="G88" s="11">
        <v>1</v>
      </c>
      <c r="H88" s="11" t="s">
        <v>294</v>
      </c>
      <c r="I88" s="14">
        <v>598</v>
      </c>
    </row>
    <row r="89" spans="2:9">
      <c r="B89" s="9" t="s">
        <v>290</v>
      </c>
      <c r="C89" s="9" t="s">
        <v>307</v>
      </c>
      <c r="D89" s="11" t="s">
        <v>129</v>
      </c>
      <c r="E89" s="10" t="s">
        <v>325</v>
      </c>
      <c r="F89" s="10" t="s">
        <v>326</v>
      </c>
      <c r="G89" s="11">
        <v>10</v>
      </c>
      <c r="H89" s="11" t="s">
        <v>294</v>
      </c>
      <c r="I89" s="14">
        <v>5000</v>
      </c>
    </row>
    <row r="90" spans="2:9">
      <c r="B90" s="9" t="s">
        <v>290</v>
      </c>
      <c r="C90" s="9" t="s">
        <v>307</v>
      </c>
      <c r="D90" s="11" t="s">
        <v>129</v>
      </c>
      <c r="E90" s="10" t="s">
        <v>325</v>
      </c>
      <c r="F90" s="10" t="s">
        <v>326</v>
      </c>
      <c r="G90" s="11">
        <v>20</v>
      </c>
      <c r="H90" s="11" t="s">
        <v>294</v>
      </c>
      <c r="I90" s="14">
        <v>10000</v>
      </c>
    </row>
    <row r="91" spans="2:9">
      <c r="B91" s="9" t="s">
        <v>290</v>
      </c>
      <c r="C91" s="9" t="s">
        <v>307</v>
      </c>
      <c r="D91" s="11" t="s">
        <v>129</v>
      </c>
      <c r="E91" s="10" t="s">
        <v>325</v>
      </c>
      <c r="F91" s="10" t="s">
        <v>326</v>
      </c>
      <c r="G91" s="11">
        <v>30</v>
      </c>
      <c r="H91" s="11" t="s">
        <v>294</v>
      </c>
      <c r="I91" s="14">
        <v>15000</v>
      </c>
    </row>
    <row r="92" spans="2:9">
      <c r="B92" s="9" t="s">
        <v>290</v>
      </c>
      <c r="C92" s="9" t="s">
        <v>307</v>
      </c>
      <c r="D92" s="11" t="s">
        <v>129</v>
      </c>
      <c r="E92" s="10" t="s">
        <v>325</v>
      </c>
      <c r="F92" s="10" t="s">
        <v>326</v>
      </c>
      <c r="G92" s="11">
        <v>50</v>
      </c>
      <c r="H92" s="11" t="s">
        <v>294</v>
      </c>
      <c r="I92" s="14">
        <v>25000</v>
      </c>
    </row>
    <row r="93" spans="2:9">
      <c r="B93" s="9" t="s">
        <v>290</v>
      </c>
      <c r="C93" s="9" t="s">
        <v>307</v>
      </c>
      <c r="D93" s="16" t="s">
        <v>129</v>
      </c>
      <c r="E93" s="15" t="s">
        <v>325</v>
      </c>
      <c r="F93" s="15" t="s">
        <v>327</v>
      </c>
      <c r="G93" s="16">
        <v>1</v>
      </c>
      <c r="H93" s="16" t="s">
        <v>320</v>
      </c>
      <c r="I93" s="17">
        <v>399</v>
      </c>
    </row>
    <row r="94" spans="2:9">
      <c r="B94" s="9" t="s">
        <v>290</v>
      </c>
      <c r="C94" s="9" t="s">
        <v>307</v>
      </c>
      <c r="D94" s="16" t="s">
        <v>129</v>
      </c>
      <c r="E94" s="18" t="s">
        <v>317</v>
      </c>
      <c r="F94" s="15" t="s">
        <v>328</v>
      </c>
      <c r="G94" s="16">
        <v>1</v>
      </c>
      <c r="H94" s="18" t="s">
        <v>293</v>
      </c>
      <c r="I94" s="21">
        <v>1580</v>
      </c>
    </row>
    <row r="95" spans="2:9">
      <c r="B95" s="9" t="s">
        <v>290</v>
      </c>
      <c r="C95" s="9" t="s">
        <v>307</v>
      </c>
      <c r="D95" s="16" t="s">
        <v>129</v>
      </c>
      <c r="E95" s="18" t="s">
        <v>317</v>
      </c>
      <c r="F95" s="15" t="s">
        <v>328</v>
      </c>
      <c r="G95" s="16">
        <v>1</v>
      </c>
      <c r="H95" s="16" t="s">
        <v>294</v>
      </c>
      <c r="I95" s="17">
        <v>1280</v>
      </c>
    </row>
    <row r="96" spans="2:9">
      <c r="B96" s="9" t="s">
        <v>290</v>
      </c>
      <c r="C96" s="9" t="s">
        <v>307</v>
      </c>
      <c r="D96" s="16" t="s">
        <v>129</v>
      </c>
      <c r="E96" s="18" t="s">
        <v>317</v>
      </c>
      <c r="F96" s="15" t="s">
        <v>328</v>
      </c>
      <c r="G96" s="16">
        <v>10</v>
      </c>
      <c r="H96" s="16" t="s">
        <v>294</v>
      </c>
      <c r="I96" s="17">
        <v>8000</v>
      </c>
    </row>
    <row r="97" spans="2:9">
      <c r="B97" s="9" t="s">
        <v>290</v>
      </c>
      <c r="C97" s="9" t="s">
        <v>307</v>
      </c>
      <c r="D97" s="16" t="s">
        <v>129</v>
      </c>
      <c r="E97" s="18" t="s">
        <v>317</v>
      </c>
      <c r="F97" s="15" t="s">
        <v>328</v>
      </c>
      <c r="G97" s="16">
        <v>20</v>
      </c>
      <c r="H97" s="16" t="s">
        <v>294</v>
      </c>
      <c r="I97" s="17">
        <v>16000</v>
      </c>
    </row>
    <row r="98" spans="2:9">
      <c r="B98" s="9" t="s">
        <v>290</v>
      </c>
      <c r="C98" s="9" t="s">
        <v>307</v>
      </c>
      <c r="D98" s="16" t="s">
        <v>129</v>
      </c>
      <c r="E98" s="18" t="s">
        <v>317</v>
      </c>
      <c r="F98" s="15" t="s">
        <v>328</v>
      </c>
      <c r="G98" s="16">
        <v>40</v>
      </c>
      <c r="H98" s="16" t="s">
        <v>294</v>
      </c>
      <c r="I98" s="17">
        <v>32000</v>
      </c>
    </row>
    <row r="99" spans="2:9">
      <c r="B99" s="9" t="s">
        <v>290</v>
      </c>
      <c r="C99" s="9" t="s">
        <v>307</v>
      </c>
      <c r="D99" s="16" t="s">
        <v>129</v>
      </c>
      <c r="E99" s="18" t="s">
        <v>317</v>
      </c>
      <c r="F99" s="15" t="s">
        <v>328</v>
      </c>
      <c r="G99" s="16">
        <v>60</v>
      </c>
      <c r="H99" s="16" t="s">
        <v>294</v>
      </c>
      <c r="I99" s="17">
        <v>48000</v>
      </c>
    </row>
    <row r="100" spans="2:9">
      <c r="B100" s="9" t="s">
        <v>290</v>
      </c>
      <c r="C100" s="9" t="s">
        <v>307</v>
      </c>
      <c r="D100" s="16" t="s">
        <v>129</v>
      </c>
      <c r="E100" s="18" t="s">
        <v>317</v>
      </c>
      <c r="F100" s="22" t="s">
        <v>329</v>
      </c>
      <c r="G100" s="16">
        <v>1</v>
      </c>
      <c r="H100" s="16" t="s">
        <v>320</v>
      </c>
      <c r="I100" s="17">
        <v>499</v>
      </c>
    </row>
    <row r="101" spans="2:9">
      <c r="B101" s="9" t="s">
        <v>290</v>
      </c>
      <c r="C101" s="9" t="s">
        <v>307</v>
      </c>
      <c r="D101" s="11" t="s">
        <v>129</v>
      </c>
      <c r="E101" s="10" t="s">
        <v>330</v>
      </c>
      <c r="F101" s="10" t="s">
        <v>331</v>
      </c>
      <c r="G101" s="11">
        <v>1</v>
      </c>
      <c r="H101" s="12" t="s">
        <v>293</v>
      </c>
      <c r="I101" s="13">
        <v>2980</v>
      </c>
    </row>
    <row r="102" spans="2:9">
      <c r="B102" s="9" t="s">
        <v>290</v>
      </c>
      <c r="C102" s="9" t="s">
        <v>307</v>
      </c>
      <c r="D102" s="11" t="s">
        <v>129</v>
      </c>
      <c r="E102" s="10" t="s">
        <v>330</v>
      </c>
      <c r="F102" s="10" t="s">
        <v>331</v>
      </c>
      <c r="G102" s="11">
        <v>1</v>
      </c>
      <c r="H102" s="11" t="s">
        <v>294</v>
      </c>
      <c r="I102" s="14">
        <v>1980</v>
      </c>
    </row>
    <row r="103" spans="2:9">
      <c r="B103" s="9" t="s">
        <v>290</v>
      </c>
      <c r="C103" s="9" t="s">
        <v>307</v>
      </c>
      <c r="D103" s="11" t="s">
        <v>129</v>
      </c>
      <c r="E103" s="10" t="s">
        <v>330</v>
      </c>
      <c r="F103" s="10" t="s">
        <v>331</v>
      </c>
      <c r="G103" s="11">
        <v>3</v>
      </c>
      <c r="H103" s="11" t="s">
        <v>294</v>
      </c>
      <c r="I103" s="14">
        <v>3800</v>
      </c>
    </row>
    <row r="104" spans="2:9">
      <c r="B104" s="9" t="s">
        <v>290</v>
      </c>
      <c r="C104" s="9" t="s">
        <v>307</v>
      </c>
      <c r="D104" s="11" t="s">
        <v>129</v>
      </c>
      <c r="E104" s="10" t="s">
        <v>330</v>
      </c>
      <c r="F104" s="10" t="s">
        <v>332</v>
      </c>
      <c r="G104" s="11">
        <v>1</v>
      </c>
      <c r="H104" s="12" t="s">
        <v>293</v>
      </c>
      <c r="I104" s="13">
        <v>5800</v>
      </c>
    </row>
    <row r="105" spans="2:9">
      <c r="B105" s="9" t="s">
        <v>290</v>
      </c>
      <c r="C105" s="9" t="s">
        <v>307</v>
      </c>
      <c r="D105" s="11" t="s">
        <v>129</v>
      </c>
      <c r="E105" s="10" t="s">
        <v>330</v>
      </c>
      <c r="F105" s="10" t="s">
        <v>332</v>
      </c>
      <c r="G105" s="11">
        <v>1</v>
      </c>
      <c r="H105" s="11" t="s">
        <v>294</v>
      </c>
      <c r="I105" s="14">
        <v>3800</v>
      </c>
    </row>
    <row r="106" spans="2:9">
      <c r="B106" s="9" t="s">
        <v>290</v>
      </c>
      <c r="C106" s="9" t="s">
        <v>307</v>
      </c>
      <c r="D106" s="11" t="s">
        <v>129</v>
      </c>
      <c r="E106" s="10" t="s">
        <v>330</v>
      </c>
      <c r="F106" s="10" t="s">
        <v>332</v>
      </c>
      <c r="G106" s="11">
        <v>3</v>
      </c>
      <c r="H106" s="11" t="s">
        <v>294</v>
      </c>
      <c r="I106" s="14">
        <v>9800</v>
      </c>
    </row>
    <row r="107" spans="2:9">
      <c r="B107" s="9" t="s">
        <v>290</v>
      </c>
      <c r="C107" s="9" t="s">
        <v>307</v>
      </c>
      <c r="D107" s="11" t="s">
        <v>129</v>
      </c>
      <c r="E107" s="10" t="s">
        <v>333</v>
      </c>
      <c r="F107" s="10" t="s">
        <v>334</v>
      </c>
      <c r="G107" s="10">
        <v>1</v>
      </c>
      <c r="H107" s="12" t="s">
        <v>293</v>
      </c>
      <c r="I107" s="13">
        <v>880</v>
      </c>
    </row>
    <row r="108" spans="2:9">
      <c r="B108" s="9" t="s">
        <v>290</v>
      </c>
      <c r="C108" s="9" t="s">
        <v>307</v>
      </c>
      <c r="D108" s="11" t="s">
        <v>129</v>
      </c>
      <c r="E108" s="10" t="s">
        <v>333</v>
      </c>
      <c r="F108" s="10" t="s">
        <v>334</v>
      </c>
      <c r="G108" s="10">
        <v>1</v>
      </c>
      <c r="H108" s="10" t="s">
        <v>294</v>
      </c>
      <c r="I108" s="23">
        <v>598</v>
      </c>
    </row>
    <row r="109" spans="2:9">
      <c r="B109" s="9" t="s">
        <v>290</v>
      </c>
      <c r="C109" s="9" t="s">
        <v>307</v>
      </c>
      <c r="D109" s="11" t="s">
        <v>129</v>
      </c>
      <c r="E109" s="10" t="s">
        <v>333</v>
      </c>
      <c r="F109" s="10" t="s">
        <v>334</v>
      </c>
      <c r="G109" s="10">
        <v>10</v>
      </c>
      <c r="H109" s="10" t="s">
        <v>294</v>
      </c>
      <c r="I109" s="23">
        <v>5000</v>
      </c>
    </row>
    <row r="110" spans="2:9">
      <c r="B110" s="9" t="s">
        <v>290</v>
      </c>
      <c r="C110" s="9" t="s">
        <v>307</v>
      </c>
      <c r="D110" s="11" t="s">
        <v>130</v>
      </c>
      <c r="E110" s="11" t="s">
        <v>335</v>
      </c>
      <c r="F110" s="10" t="s">
        <v>336</v>
      </c>
      <c r="G110" s="11">
        <v>1</v>
      </c>
      <c r="H110" s="12" t="s">
        <v>293</v>
      </c>
      <c r="I110" s="13">
        <v>580</v>
      </c>
    </row>
    <row r="111" spans="2:9">
      <c r="B111" s="9" t="s">
        <v>290</v>
      </c>
      <c r="C111" s="9" t="s">
        <v>307</v>
      </c>
      <c r="D111" s="11" t="s">
        <v>130</v>
      </c>
      <c r="E111" s="11" t="s">
        <v>335</v>
      </c>
      <c r="F111" s="10" t="s">
        <v>336</v>
      </c>
      <c r="G111" s="11">
        <v>1</v>
      </c>
      <c r="H111" s="10" t="s">
        <v>294</v>
      </c>
      <c r="I111" s="14">
        <v>398</v>
      </c>
    </row>
    <row r="112" spans="2:9">
      <c r="B112" s="9" t="s">
        <v>290</v>
      </c>
      <c r="C112" s="9" t="s">
        <v>307</v>
      </c>
      <c r="D112" s="11" t="s">
        <v>130</v>
      </c>
      <c r="E112" s="11" t="s">
        <v>335</v>
      </c>
      <c r="F112" s="10" t="s">
        <v>336</v>
      </c>
      <c r="G112" s="11">
        <v>3</v>
      </c>
      <c r="H112" s="10" t="s">
        <v>294</v>
      </c>
      <c r="I112" s="14">
        <v>894</v>
      </c>
    </row>
    <row r="113" spans="2:9">
      <c r="B113" s="9" t="s">
        <v>290</v>
      </c>
      <c r="C113" s="9" t="s">
        <v>307</v>
      </c>
      <c r="D113" s="11" t="s">
        <v>130</v>
      </c>
      <c r="E113" s="11" t="s">
        <v>335</v>
      </c>
      <c r="F113" s="10" t="s">
        <v>336</v>
      </c>
      <c r="G113" s="11">
        <v>10</v>
      </c>
      <c r="H113" s="10" t="s">
        <v>294</v>
      </c>
      <c r="I113" s="14">
        <v>2980</v>
      </c>
    </row>
    <row r="114" spans="2:9">
      <c r="B114" s="9" t="s">
        <v>290</v>
      </c>
      <c r="C114" s="9" t="s">
        <v>307</v>
      </c>
      <c r="D114" s="11" t="s">
        <v>130</v>
      </c>
      <c r="E114" s="11" t="s">
        <v>335</v>
      </c>
      <c r="F114" s="10" t="s">
        <v>336</v>
      </c>
      <c r="G114" s="11">
        <v>20</v>
      </c>
      <c r="H114" s="10" t="s">
        <v>294</v>
      </c>
      <c r="I114" s="14">
        <v>5960</v>
      </c>
    </row>
    <row r="115" spans="2:9">
      <c r="B115" s="9" t="s">
        <v>290</v>
      </c>
      <c r="C115" s="9" t="s">
        <v>307</v>
      </c>
      <c r="D115" s="11" t="s">
        <v>130</v>
      </c>
      <c r="E115" s="11" t="s">
        <v>335</v>
      </c>
      <c r="F115" s="10" t="s">
        <v>336</v>
      </c>
      <c r="G115" s="11">
        <v>30</v>
      </c>
      <c r="H115" s="10" t="s">
        <v>294</v>
      </c>
      <c r="I115" s="14">
        <v>8940</v>
      </c>
    </row>
    <row r="116" spans="2:9">
      <c r="B116" s="9" t="s">
        <v>290</v>
      </c>
      <c r="C116" s="9" t="s">
        <v>307</v>
      </c>
      <c r="D116" s="11" t="s">
        <v>130</v>
      </c>
      <c r="E116" s="11" t="s">
        <v>335</v>
      </c>
      <c r="F116" s="10" t="s">
        <v>336</v>
      </c>
      <c r="G116" s="11">
        <v>51</v>
      </c>
      <c r="H116" s="10" t="s">
        <v>294</v>
      </c>
      <c r="I116" s="14">
        <v>15000</v>
      </c>
    </row>
    <row r="117" spans="2:9">
      <c r="B117" s="9" t="s">
        <v>290</v>
      </c>
      <c r="C117" s="9" t="s">
        <v>307</v>
      </c>
      <c r="D117" s="11" t="s">
        <v>130</v>
      </c>
      <c r="E117" s="11" t="s">
        <v>335</v>
      </c>
      <c r="F117" s="10" t="s">
        <v>336</v>
      </c>
      <c r="G117" s="11">
        <v>68</v>
      </c>
      <c r="H117" s="10" t="s">
        <v>294</v>
      </c>
      <c r="I117" s="14">
        <v>20000</v>
      </c>
    </row>
    <row r="118" spans="2:9">
      <c r="B118" s="9" t="s">
        <v>290</v>
      </c>
      <c r="C118" s="9" t="s">
        <v>307</v>
      </c>
      <c r="D118" s="16" t="s">
        <v>130</v>
      </c>
      <c r="E118" s="16" t="s">
        <v>335</v>
      </c>
      <c r="F118" s="16" t="s">
        <v>337</v>
      </c>
      <c r="G118" s="16">
        <v>1</v>
      </c>
      <c r="H118" s="15" t="s">
        <v>320</v>
      </c>
      <c r="I118" s="17">
        <v>198</v>
      </c>
    </row>
    <row r="119" spans="2:9">
      <c r="B119" s="9" t="s">
        <v>290</v>
      </c>
      <c r="C119" s="9" t="s">
        <v>307</v>
      </c>
      <c r="D119" s="16" t="s">
        <v>130</v>
      </c>
      <c r="E119" s="16" t="s">
        <v>335</v>
      </c>
      <c r="F119" s="16" t="s">
        <v>338</v>
      </c>
      <c r="G119" s="16">
        <v>1</v>
      </c>
      <c r="H119" s="15" t="s">
        <v>320</v>
      </c>
      <c r="I119" s="17">
        <v>298</v>
      </c>
    </row>
    <row r="120" spans="2:9">
      <c r="B120" s="9" t="s">
        <v>290</v>
      </c>
      <c r="C120" s="9" t="s">
        <v>307</v>
      </c>
      <c r="D120" s="11" t="s">
        <v>130</v>
      </c>
      <c r="E120" s="11" t="s">
        <v>339</v>
      </c>
      <c r="F120" s="10" t="s">
        <v>340</v>
      </c>
      <c r="G120" s="11">
        <v>1</v>
      </c>
      <c r="H120" s="12" t="s">
        <v>293</v>
      </c>
      <c r="I120" s="13">
        <v>580</v>
      </c>
    </row>
    <row r="121" spans="2:9">
      <c r="B121" s="9" t="s">
        <v>290</v>
      </c>
      <c r="C121" s="9" t="s">
        <v>307</v>
      </c>
      <c r="D121" s="11" t="s">
        <v>130</v>
      </c>
      <c r="E121" s="11" t="s">
        <v>339</v>
      </c>
      <c r="F121" s="10" t="s">
        <v>340</v>
      </c>
      <c r="G121" s="11">
        <v>1</v>
      </c>
      <c r="H121" s="10" t="s">
        <v>294</v>
      </c>
      <c r="I121" s="14">
        <v>398</v>
      </c>
    </row>
    <row r="122" spans="2:9">
      <c r="B122" s="9" t="s">
        <v>290</v>
      </c>
      <c r="C122" s="9" t="s">
        <v>307</v>
      </c>
      <c r="D122" s="11" t="s">
        <v>130</v>
      </c>
      <c r="E122" s="11" t="s">
        <v>339</v>
      </c>
      <c r="F122" s="10" t="s">
        <v>340</v>
      </c>
      <c r="G122" s="11">
        <v>3</v>
      </c>
      <c r="H122" s="10" t="s">
        <v>294</v>
      </c>
      <c r="I122" s="14">
        <v>894</v>
      </c>
    </row>
    <row r="123" spans="2:9">
      <c r="B123" s="9" t="s">
        <v>290</v>
      </c>
      <c r="C123" s="9" t="s">
        <v>307</v>
      </c>
      <c r="D123" s="11" t="s">
        <v>130</v>
      </c>
      <c r="E123" s="11" t="s">
        <v>339</v>
      </c>
      <c r="F123" s="10" t="s">
        <v>340</v>
      </c>
      <c r="G123" s="11">
        <v>10</v>
      </c>
      <c r="H123" s="10" t="s">
        <v>294</v>
      </c>
      <c r="I123" s="14">
        <v>2980</v>
      </c>
    </row>
    <row r="124" spans="2:9">
      <c r="B124" s="9" t="s">
        <v>290</v>
      </c>
      <c r="C124" s="9" t="s">
        <v>307</v>
      </c>
      <c r="D124" s="11" t="s">
        <v>130</v>
      </c>
      <c r="E124" s="11" t="s">
        <v>339</v>
      </c>
      <c r="F124" s="10" t="s">
        <v>340</v>
      </c>
      <c r="G124" s="11">
        <v>20</v>
      </c>
      <c r="H124" s="10" t="s">
        <v>294</v>
      </c>
      <c r="I124" s="14">
        <v>5960</v>
      </c>
    </row>
    <row r="125" spans="2:9">
      <c r="B125" s="9" t="s">
        <v>290</v>
      </c>
      <c r="C125" s="9" t="s">
        <v>307</v>
      </c>
      <c r="D125" s="11" t="s">
        <v>130</v>
      </c>
      <c r="E125" s="11" t="s">
        <v>339</v>
      </c>
      <c r="F125" s="10" t="s">
        <v>340</v>
      </c>
      <c r="G125" s="11">
        <v>30</v>
      </c>
      <c r="H125" s="10" t="s">
        <v>294</v>
      </c>
      <c r="I125" s="14">
        <v>8940</v>
      </c>
    </row>
    <row r="126" spans="2:9">
      <c r="B126" s="9" t="s">
        <v>290</v>
      </c>
      <c r="C126" s="9" t="s">
        <v>307</v>
      </c>
      <c r="D126" s="11" t="s">
        <v>130</v>
      </c>
      <c r="E126" s="11" t="s">
        <v>339</v>
      </c>
      <c r="F126" s="10" t="s">
        <v>340</v>
      </c>
      <c r="G126" s="11">
        <v>51</v>
      </c>
      <c r="H126" s="10" t="s">
        <v>294</v>
      </c>
      <c r="I126" s="14">
        <v>15000</v>
      </c>
    </row>
    <row r="127" spans="2:9">
      <c r="B127" s="9" t="s">
        <v>290</v>
      </c>
      <c r="C127" s="9" t="s">
        <v>307</v>
      </c>
      <c r="D127" s="11" t="s">
        <v>130</v>
      </c>
      <c r="E127" s="11" t="s">
        <v>339</v>
      </c>
      <c r="F127" s="10" t="s">
        <v>340</v>
      </c>
      <c r="G127" s="11">
        <v>68</v>
      </c>
      <c r="H127" s="10" t="s">
        <v>294</v>
      </c>
      <c r="I127" s="14">
        <v>20000</v>
      </c>
    </row>
    <row r="128" spans="2:9">
      <c r="B128" s="9" t="s">
        <v>290</v>
      </c>
      <c r="C128" s="9" t="s">
        <v>307</v>
      </c>
      <c r="D128" s="16" t="s">
        <v>130</v>
      </c>
      <c r="E128" s="16" t="s">
        <v>339</v>
      </c>
      <c r="F128" s="16" t="s">
        <v>341</v>
      </c>
      <c r="G128" s="16">
        <v>1</v>
      </c>
      <c r="H128" s="15" t="s">
        <v>320</v>
      </c>
      <c r="I128" s="17">
        <v>198</v>
      </c>
    </row>
    <row r="129" spans="2:9">
      <c r="B129" s="9" t="s">
        <v>290</v>
      </c>
      <c r="C129" s="9" t="s">
        <v>307</v>
      </c>
      <c r="D129" s="16" t="s">
        <v>130</v>
      </c>
      <c r="E129" s="16" t="s">
        <v>339</v>
      </c>
      <c r="F129" s="16" t="s">
        <v>342</v>
      </c>
      <c r="G129" s="16">
        <v>1</v>
      </c>
      <c r="H129" s="15" t="s">
        <v>320</v>
      </c>
      <c r="I129" s="17">
        <v>298</v>
      </c>
    </row>
    <row r="130" spans="2:9">
      <c r="B130" s="9" t="s">
        <v>290</v>
      </c>
      <c r="C130" s="9" t="s">
        <v>307</v>
      </c>
      <c r="D130" s="11" t="s">
        <v>130</v>
      </c>
      <c r="E130" s="11" t="s">
        <v>343</v>
      </c>
      <c r="F130" s="10" t="s">
        <v>344</v>
      </c>
      <c r="G130" s="11">
        <v>1</v>
      </c>
      <c r="H130" s="12" t="s">
        <v>293</v>
      </c>
      <c r="I130" s="13">
        <v>580</v>
      </c>
    </row>
    <row r="131" spans="2:9">
      <c r="B131" s="9" t="s">
        <v>290</v>
      </c>
      <c r="C131" s="9" t="s">
        <v>307</v>
      </c>
      <c r="D131" s="11" t="s">
        <v>130</v>
      </c>
      <c r="E131" s="11" t="s">
        <v>343</v>
      </c>
      <c r="F131" s="10" t="s">
        <v>344</v>
      </c>
      <c r="G131" s="11">
        <v>1</v>
      </c>
      <c r="H131" s="10" t="s">
        <v>294</v>
      </c>
      <c r="I131" s="14">
        <v>398</v>
      </c>
    </row>
    <row r="132" spans="2:9">
      <c r="B132" s="9" t="s">
        <v>290</v>
      </c>
      <c r="C132" s="9" t="s">
        <v>307</v>
      </c>
      <c r="D132" s="11" t="s">
        <v>130</v>
      </c>
      <c r="E132" s="11" t="s">
        <v>343</v>
      </c>
      <c r="F132" s="10" t="s">
        <v>344</v>
      </c>
      <c r="G132" s="11">
        <v>3</v>
      </c>
      <c r="H132" s="10" t="s">
        <v>294</v>
      </c>
      <c r="I132" s="14">
        <v>894</v>
      </c>
    </row>
    <row r="133" spans="2:9">
      <c r="B133" s="9" t="s">
        <v>290</v>
      </c>
      <c r="C133" s="9" t="s">
        <v>307</v>
      </c>
      <c r="D133" s="11" t="s">
        <v>130</v>
      </c>
      <c r="E133" s="11" t="s">
        <v>343</v>
      </c>
      <c r="F133" s="10" t="s">
        <v>344</v>
      </c>
      <c r="G133" s="11">
        <v>10</v>
      </c>
      <c r="H133" s="10" t="s">
        <v>294</v>
      </c>
      <c r="I133" s="14">
        <v>2980</v>
      </c>
    </row>
    <row r="134" spans="2:9">
      <c r="B134" s="9" t="s">
        <v>290</v>
      </c>
      <c r="C134" s="9" t="s">
        <v>307</v>
      </c>
      <c r="D134" s="11" t="s">
        <v>130</v>
      </c>
      <c r="E134" s="11" t="s">
        <v>343</v>
      </c>
      <c r="F134" s="10" t="s">
        <v>344</v>
      </c>
      <c r="G134" s="11">
        <v>20</v>
      </c>
      <c r="H134" s="10" t="s">
        <v>294</v>
      </c>
      <c r="I134" s="14">
        <v>5960</v>
      </c>
    </row>
    <row r="135" spans="2:9">
      <c r="B135" s="9" t="s">
        <v>290</v>
      </c>
      <c r="C135" s="9" t="s">
        <v>307</v>
      </c>
      <c r="D135" s="11" t="s">
        <v>130</v>
      </c>
      <c r="E135" s="11" t="s">
        <v>343</v>
      </c>
      <c r="F135" s="10" t="s">
        <v>344</v>
      </c>
      <c r="G135" s="11">
        <v>30</v>
      </c>
      <c r="H135" s="10" t="s">
        <v>294</v>
      </c>
      <c r="I135" s="14">
        <v>8940</v>
      </c>
    </row>
    <row r="136" spans="2:9">
      <c r="B136" s="9" t="s">
        <v>290</v>
      </c>
      <c r="C136" s="9" t="s">
        <v>307</v>
      </c>
      <c r="D136" s="11" t="s">
        <v>130</v>
      </c>
      <c r="E136" s="11" t="s">
        <v>343</v>
      </c>
      <c r="F136" s="10" t="s">
        <v>344</v>
      </c>
      <c r="G136" s="11">
        <v>51</v>
      </c>
      <c r="H136" s="10" t="s">
        <v>294</v>
      </c>
      <c r="I136" s="14">
        <v>15000</v>
      </c>
    </row>
    <row r="137" spans="2:9">
      <c r="B137" s="9" t="s">
        <v>290</v>
      </c>
      <c r="C137" s="9" t="s">
        <v>307</v>
      </c>
      <c r="D137" s="11" t="s">
        <v>130</v>
      </c>
      <c r="E137" s="11" t="s">
        <v>343</v>
      </c>
      <c r="F137" s="10" t="s">
        <v>344</v>
      </c>
      <c r="G137" s="11">
        <v>68</v>
      </c>
      <c r="H137" s="10" t="s">
        <v>294</v>
      </c>
      <c r="I137" s="14">
        <v>20000</v>
      </c>
    </row>
    <row r="138" spans="2:9">
      <c r="B138" s="9" t="s">
        <v>290</v>
      </c>
      <c r="C138" s="9" t="s">
        <v>307</v>
      </c>
      <c r="D138" s="16" t="s">
        <v>130</v>
      </c>
      <c r="E138" s="16" t="s">
        <v>343</v>
      </c>
      <c r="F138" s="16" t="s">
        <v>345</v>
      </c>
      <c r="G138" s="16">
        <v>1</v>
      </c>
      <c r="H138" s="15" t="s">
        <v>320</v>
      </c>
      <c r="I138" s="17">
        <v>198</v>
      </c>
    </row>
    <row r="139" spans="2:9">
      <c r="B139" s="9" t="s">
        <v>290</v>
      </c>
      <c r="C139" s="9" t="s">
        <v>307</v>
      </c>
      <c r="D139" s="16" t="s">
        <v>130</v>
      </c>
      <c r="E139" s="16" t="s">
        <v>343</v>
      </c>
      <c r="F139" s="16" t="s">
        <v>346</v>
      </c>
      <c r="G139" s="16">
        <v>1</v>
      </c>
      <c r="H139" s="15" t="s">
        <v>320</v>
      </c>
      <c r="I139" s="17">
        <v>298</v>
      </c>
    </row>
    <row r="140" spans="2:9">
      <c r="B140" s="9" t="s">
        <v>290</v>
      </c>
      <c r="C140" s="9" t="s">
        <v>307</v>
      </c>
      <c r="D140" s="11" t="s">
        <v>130</v>
      </c>
      <c r="E140" s="11" t="s">
        <v>347</v>
      </c>
      <c r="F140" s="11" t="s">
        <v>348</v>
      </c>
      <c r="G140" s="11">
        <v>1</v>
      </c>
      <c r="H140" s="12" t="s">
        <v>293</v>
      </c>
      <c r="I140" s="13">
        <v>298</v>
      </c>
    </row>
    <row r="141" spans="2:9">
      <c r="B141" s="9" t="s">
        <v>290</v>
      </c>
      <c r="C141" s="9" t="s">
        <v>307</v>
      </c>
      <c r="D141" s="11" t="s">
        <v>130</v>
      </c>
      <c r="E141" s="11" t="s">
        <v>347</v>
      </c>
      <c r="F141" s="11" t="s">
        <v>348</v>
      </c>
      <c r="G141" s="11">
        <v>1</v>
      </c>
      <c r="H141" s="10" t="s">
        <v>294</v>
      </c>
      <c r="I141" s="14">
        <v>198</v>
      </c>
    </row>
    <row r="142" spans="2:9">
      <c r="B142" s="9" t="s">
        <v>290</v>
      </c>
      <c r="C142" s="9" t="s">
        <v>307</v>
      </c>
      <c r="D142" s="11" t="s">
        <v>130</v>
      </c>
      <c r="E142" s="11" t="s">
        <v>347</v>
      </c>
      <c r="F142" s="11" t="s">
        <v>348</v>
      </c>
      <c r="G142" s="11">
        <v>20</v>
      </c>
      <c r="H142" s="10" t="s">
        <v>294</v>
      </c>
      <c r="I142" s="14">
        <v>2980</v>
      </c>
    </row>
    <row r="143" spans="2:9">
      <c r="B143" s="24" t="s">
        <v>349</v>
      </c>
      <c r="C143" s="9" t="s">
        <v>307</v>
      </c>
      <c r="D143" s="11" t="s">
        <v>131</v>
      </c>
      <c r="E143" s="11" t="s">
        <v>350</v>
      </c>
      <c r="F143" s="10" t="s">
        <v>351</v>
      </c>
      <c r="G143" s="11">
        <v>1</v>
      </c>
      <c r="H143" s="12" t="s">
        <v>293</v>
      </c>
      <c r="I143" s="13">
        <v>580</v>
      </c>
    </row>
    <row r="144" spans="2:9">
      <c r="B144" s="24" t="s">
        <v>349</v>
      </c>
      <c r="C144" s="9" t="s">
        <v>307</v>
      </c>
      <c r="D144" s="11" t="s">
        <v>131</v>
      </c>
      <c r="E144" s="11" t="s">
        <v>350</v>
      </c>
      <c r="F144" s="10" t="s">
        <v>351</v>
      </c>
      <c r="G144" s="11">
        <v>1</v>
      </c>
      <c r="H144" s="10" t="s">
        <v>294</v>
      </c>
      <c r="I144" s="14">
        <v>398</v>
      </c>
    </row>
    <row r="145" spans="2:9">
      <c r="B145" s="24" t="s">
        <v>349</v>
      </c>
      <c r="C145" s="9" t="s">
        <v>307</v>
      </c>
      <c r="D145" s="11" t="s">
        <v>131</v>
      </c>
      <c r="E145" s="11" t="s">
        <v>350</v>
      </c>
      <c r="F145" s="10" t="s">
        <v>351</v>
      </c>
      <c r="G145" s="11">
        <v>10</v>
      </c>
      <c r="H145" s="10" t="s">
        <v>294</v>
      </c>
      <c r="I145" s="14">
        <v>2980</v>
      </c>
    </row>
    <row r="146" spans="2:9">
      <c r="B146" s="24" t="s">
        <v>349</v>
      </c>
      <c r="C146" s="9" t="s">
        <v>307</v>
      </c>
      <c r="D146" s="11" t="s">
        <v>131</v>
      </c>
      <c r="E146" s="11" t="s">
        <v>350</v>
      </c>
      <c r="F146" s="10" t="s">
        <v>351</v>
      </c>
      <c r="G146" s="11">
        <v>20</v>
      </c>
      <c r="H146" s="10" t="s">
        <v>294</v>
      </c>
      <c r="I146" s="14">
        <v>5960</v>
      </c>
    </row>
    <row r="147" spans="2:9">
      <c r="B147" s="24" t="s">
        <v>349</v>
      </c>
      <c r="C147" s="9" t="s">
        <v>307</v>
      </c>
      <c r="D147" s="11" t="s">
        <v>131</v>
      </c>
      <c r="E147" s="11" t="s">
        <v>350</v>
      </c>
      <c r="F147" s="10" t="s">
        <v>351</v>
      </c>
      <c r="G147" s="11">
        <v>30</v>
      </c>
      <c r="H147" s="10" t="s">
        <v>294</v>
      </c>
      <c r="I147" s="14">
        <v>8800</v>
      </c>
    </row>
    <row r="148" spans="2:9">
      <c r="B148" s="24" t="s">
        <v>349</v>
      </c>
      <c r="C148" s="9" t="s">
        <v>307</v>
      </c>
      <c r="D148" s="11" t="s">
        <v>131</v>
      </c>
      <c r="E148" s="11" t="s">
        <v>352</v>
      </c>
      <c r="F148" s="10" t="s">
        <v>353</v>
      </c>
      <c r="G148" s="11">
        <v>1</v>
      </c>
      <c r="H148" s="12" t="s">
        <v>293</v>
      </c>
      <c r="I148" s="14">
        <v>680</v>
      </c>
    </row>
    <row r="149" spans="2:9">
      <c r="B149" s="24" t="s">
        <v>349</v>
      </c>
      <c r="C149" s="9" t="s">
        <v>307</v>
      </c>
      <c r="D149" s="11" t="s">
        <v>131</v>
      </c>
      <c r="E149" s="11" t="s">
        <v>352</v>
      </c>
      <c r="F149" s="10" t="s">
        <v>353</v>
      </c>
      <c r="G149" s="11">
        <v>1</v>
      </c>
      <c r="H149" s="10" t="s">
        <v>294</v>
      </c>
      <c r="I149" s="14">
        <v>498</v>
      </c>
    </row>
    <row r="150" spans="2:9">
      <c r="B150" s="24" t="s">
        <v>349</v>
      </c>
      <c r="C150" s="9" t="s">
        <v>307</v>
      </c>
      <c r="D150" s="11" t="s">
        <v>131</v>
      </c>
      <c r="E150" s="11" t="s">
        <v>352</v>
      </c>
      <c r="F150" s="10" t="s">
        <v>353</v>
      </c>
      <c r="G150" s="11">
        <v>10</v>
      </c>
      <c r="H150" s="10" t="s">
        <v>294</v>
      </c>
      <c r="I150" s="14">
        <v>3980</v>
      </c>
    </row>
    <row r="151" spans="2:9">
      <c r="B151" s="24" t="s">
        <v>349</v>
      </c>
      <c r="C151" s="9" t="s">
        <v>307</v>
      </c>
      <c r="D151" s="11" t="s">
        <v>131</v>
      </c>
      <c r="E151" s="11" t="s">
        <v>354</v>
      </c>
      <c r="F151" s="10" t="s">
        <v>355</v>
      </c>
      <c r="G151" s="11">
        <v>1</v>
      </c>
      <c r="H151" s="12" t="s">
        <v>356</v>
      </c>
      <c r="I151" s="13">
        <v>2980</v>
      </c>
    </row>
    <row r="152" spans="2:9">
      <c r="B152" s="24" t="s">
        <v>349</v>
      </c>
      <c r="C152" s="9" t="s">
        <v>307</v>
      </c>
      <c r="D152" s="11" t="s">
        <v>131</v>
      </c>
      <c r="E152" s="11" t="s">
        <v>354</v>
      </c>
      <c r="F152" s="10" t="s">
        <v>355</v>
      </c>
      <c r="G152" s="11">
        <v>1</v>
      </c>
      <c r="H152" s="10" t="s">
        <v>357</v>
      </c>
      <c r="I152" s="14">
        <v>2380</v>
      </c>
    </row>
    <row r="153" spans="2:9">
      <c r="B153" s="24" t="s">
        <v>349</v>
      </c>
      <c r="C153" s="9" t="s">
        <v>307</v>
      </c>
      <c r="D153" s="11" t="s">
        <v>131</v>
      </c>
      <c r="E153" s="11" t="s">
        <v>354</v>
      </c>
      <c r="F153" s="10" t="s">
        <v>355</v>
      </c>
      <c r="G153" s="11">
        <v>10</v>
      </c>
      <c r="H153" s="10" t="s">
        <v>357</v>
      </c>
      <c r="I153" s="14">
        <v>19800</v>
      </c>
    </row>
    <row r="154" spans="2:9">
      <c r="B154" s="24" t="s">
        <v>349</v>
      </c>
      <c r="C154" s="9" t="s">
        <v>307</v>
      </c>
      <c r="D154" s="11" t="s">
        <v>131</v>
      </c>
      <c r="E154" s="18" t="s">
        <v>317</v>
      </c>
      <c r="F154" s="10" t="s">
        <v>358</v>
      </c>
      <c r="G154" s="11">
        <v>1</v>
      </c>
      <c r="H154" s="12" t="s">
        <v>356</v>
      </c>
      <c r="I154" s="13">
        <v>4980</v>
      </c>
    </row>
    <row r="155" spans="2:9">
      <c r="B155" s="24" t="s">
        <v>349</v>
      </c>
      <c r="C155" s="9" t="s">
        <v>307</v>
      </c>
      <c r="D155" s="11" t="s">
        <v>131</v>
      </c>
      <c r="E155" s="18" t="s">
        <v>317</v>
      </c>
      <c r="F155" s="10" t="s">
        <v>358</v>
      </c>
      <c r="G155" s="11">
        <v>1</v>
      </c>
      <c r="H155" s="10" t="s">
        <v>357</v>
      </c>
      <c r="I155" s="14">
        <v>4380</v>
      </c>
    </row>
    <row r="156" spans="2:9">
      <c r="B156" s="24" t="s">
        <v>349</v>
      </c>
      <c r="C156" s="9" t="s">
        <v>307</v>
      </c>
      <c r="D156" s="11" t="s">
        <v>131</v>
      </c>
      <c r="E156" s="18" t="s">
        <v>317</v>
      </c>
      <c r="F156" s="10" t="s">
        <v>358</v>
      </c>
      <c r="G156" s="11">
        <v>10</v>
      </c>
      <c r="H156" s="10" t="s">
        <v>357</v>
      </c>
      <c r="I156" s="14">
        <v>39800</v>
      </c>
    </row>
    <row r="157" spans="2:9">
      <c r="B157" s="9" t="s">
        <v>290</v>
      </c>
      <c r="C157" s="18" t="s">
        <v>307</v>
      </c>
      <c r="D157" s="11" t="s">
        <v>132</v>
      </c>
      <c r="E157" s="11" t="s">
        <v>333</v>
      </c>
      <c r="F157" s="10" t="s">
        <v>359</v>
      </c>
      <c r="G157" s="10">
        <v>1</v>
      </c>
      <c r="H157" s="12" t="s">
        <v>293</v>
      </c>
      <c r="I157" s="13">
        <v>258</v>
      </c>
    </row>
    <row r="158" spans="2:9">
      <c r="B158" s="9" t="s">
        <v>290</v>
      </c>
      <c r="C158" s="18" t="s">
        <v>307</v>
      </c>
      <c r="D158" s="11" t="s">
        <v>132</v>
      </c>
      <c r="E158" s="11" t="s">
        <v>333</v>
      </c>
      <c r="F158" s="10" t="s">
        <v>359</v>
      </c>
      <c r="G158" s="10">
        <v>1</v>
      </c>
      <c r="H158" s="10" t="s">
        <v>294</v>
      </c>
      <c r="I158" s="23">
        <v>158</v>
      </c>
    </row>
    <row r="159" spans="2:9">
      <c r="B159" s="9" t="s">
        <v>290</v>
      </c>
      <c r="C159" s="18" t="s">
        <v>307</v>
      </c>
      <c r="D159" s="11" t="s">
        <v>132</v>
      </c>
      <c r="E159" s="11" t="s">
        <v>333</v>
      </c>
      <c r="F159" s="10" t="s">
        <v>359</v>
      </c>
      <c r="G159" s="10">
        <v>10</v>
      </c>
      <c r="H159" s="10" t="s">
        <v>294</v>
      </c>
      <c r="I159" s="23">
        <v>1580</v>
      </c>
    </row>
    <row r="160" spans="2:9">
      <c r="B160" s="9" t="s">
        <v>290</v>
      </c>
      <c r="C160" s="24" t="s">
        <v>360</v>
      </c>
      <c r="D160" s="22" t="s">
        <v>133</v>
      </c>
      <c r="E160" s="18" t="s">
        <v>317</v>
      </c>
      <c r="F160" s="16" t="s">
        <v>361</v>
      </c>
      <c r="G160" s="16">
        <v>10</v>
      </c>
      <c r="H160" s="16" t="s">
        <v>320</v>
      </c>
      <c r="I160" s="17">
        <v>5980</v>
      </c>
    </row>
    <row r="161" spans="2:9">
      <c r="B161" s="9" t="s">
        <v>290</v>
      </c>
      <c r="C161" s="24" t="s">
        <v>360</v>
      </c>
      <c r="D161" s="22" t="s">
        <v>133</v>
      </c>
      <c r="E161" s="18" t="s">
        <v>317</v>
      </c>
      <c r="F161" s="16" t="s">
        <v>362</v>
      </c>
      <c r="G161" s="16">
        <v>1</v>
      </c>
      <c r="H161" s="16" t="s">
        <v>320</v>
      </c>
      <c r="I161" s="17">
        <v>598</v>
      </c>
    </row>
    <row r="162" spans="2:9">
      <c r="B162" s="9" t="s">
        <v>290</v>
      </c>
      <c r="C162" s="24" t="s">
        <v>360</v>
      </c>
      <c r="D162" s="22" t="s">
        <v>133</v>
      </c>
      <c r="E162" s="18" t="s">
        <v>317</v>
      </c>
      <c r="F162" s="16" t="s">
        <v>363</v>
      </c>
      <c r="G162" s="16">
        <v>36</v>
      </c>
      <c r="H162" s="16" t="s">
        <v>320</v>
      </c>
      <c r="I162" s="17">
        <v>3980</v>
      </c>
    </row>
    <row r="163" spans="2:9">
      <c r="B163" s="25" t="s">
        <v>364</v>
      </c>
      <c r="C163" s="25" t="s">
        <v>307</v>
      </c>
      <c r="D163" s="26" t="s">
        <v>128</v>
      </c>
      <c r="E163" s="26" t="s">
        <v>365</v>
      </c>
      <c r="F163" s="11" t="s">
        <v>366</v>
      </c>
      <c r="G163" s="11">
        <v>1</v>
      </c>
      <c r="H163" s="11" t="s">
        <v>367</v>
      </c>
      <c r="I163" s="14">
        <v>1280</v>
      </c>
    </row>
    <row r="164" spans="2:9">
      <c r="B164" s="25" t="s">
        <v>364</v>
      </c>
      <c r="C164" s="25" t="s">
        <v>307</v>
      </c>
      <c r="D164" s="26" t="s">
        <v>128</v>
      </c>
      <c r="E164" s="26" t="s">
        <v>365</v>
      </c>
      <c r="F164" s="11" t="s">
        <v>368</v>
      </c>
      <c r="G164" s="11">
        <v>1</v>
      </c>
      <c r="H164" s="11" t="s">
        <v>367</v>
      </c>
      <c r="I164" s="14">
        <v>1580</v>
      </c>
    </row>
    <row r="165" spans="2:9">
      <c r="B165" s="25" t="s">
        <v>364</v>
      </c>
      <c r="C165" s="25" t="s">
        <v>307</v>
      </c>
      <c r="D165" s="26" t="s">
        <v>128</v>
      </c>
      <c r="E165" s="26" t="s">
        <v>365</v>
      </c>
      <c r="F165" s="11" t="s">
        <v>369</v>
      </c>
      <c r="G165" s="11">
        <v>1</v>
      </c>
      <c r="H165" s="11" t="s">
        <v>367</v>
      </c>
      <c r="I165" s="14">
        <v>1980</v>
      </c>
    </row>
    <row r="166" spans="2:9">
      <c r="B166" s="25" t="s">
        <v>364</v>
      </c>
      <c r="C166" s="25" t="s">
        <v>307</v>
      </c>
      <c r="D166" s="26" t="s">
        <v>128</v>
      </c>
      <c r="E166" s="26" t="s">
        <v>365</v>
      </c>
      <c r="F166" s="11" t="s">
        <v>370</v>
      </c>
      <c r="G166" s="11">
        <v>1</v>
      </c>
      <c r="H166" s="11" t="s">
        <v>367</v>
      </c>
      <c r="I166" s="14">
        <v>1380</v>
      </c>
    </row>
    <row r="167" spans="2:9">
      <c r="B167" s="25" t="s">
        <v>364</v>
      </c>
      <c r="C167" s="25" t="s">
        <v>307</v>
      </c>
      <c r="D167" s="26" t="s">
        <v>128</v>
      </c>
      <c r="E167" s="26" t="s">
        <v>365</v>
      </c>
      <c r="F167" s="11" t="s">
        <v>371</v>
      </c>
      <c r="G167" s="11">
        <v>1</v>
      </c>
      <c r="H167" s="11" t="s">
        <v>372</v>
      </c>
      <c r="I167" s="14">
        <v>480</v>
      </c>
    </row>
    <row r="168" spans="2:9">
      <c r="B168" s="25" t="s">
        <v>364</v>
      </c>
      <c r="C168" s="25" t="s">
        <v>307</v>
      </c>
      <c r="D168" s="26" t="s">
        <v>128</v>
      </c>
      <c r="E168" s="26" t="s">
        <v>365</v>
      </c>
      <c r="F168" s="11" t="s">
        <v>373</v>
      </c>
      <c r="G168" s="11">
        <v>1</v>
      </c>
      <c r="H168" s="11" t="s">
        <v>374</v>
      </c>
      <c r="I168" s="14">
        <v>198</v>
      </c>
    </row>
    <row r="169" spans="2:9">
      <c r="B169" s="25" t="s">
        <v>364</v>
      </c>
      <c r="C169" s="25" t="s">
        <v>307</v>
      </c>
      <c r="D169" s="26" t="s">
        <v>128</v>
      </c>
      <c r="E169" s="26" t="s">
        <v>365</v>
      </c>
      <c r="F169" s="11" t="s">
        <v>375</v>
      </c>
      <c r="G169" s="11">
        <v>1</v>
      </c>
      <c r="H169" s="11" t="s">
        <v>376</v>
      </c>
      <c r="I169" s="14">
        <v>380</v>
      </c>
    </row>
    <row r="170" spans="2:9">
      <c r="B170" s="25" t="s">
        <v>364</v>
      </c>
      <c r="C170" s="25" t="s">
        <v>307</v>
      </c>
      <c r="D170" s="26" t="s">
        <v>128</v>
      </c>
      <c r="E170" s="26" t="s">
        <v>365</v>
      </c>
      <c r="F170" s="11" t="s">
        <v>377</v>
      </c>
      <c r="G170" s="11">
        <v>1</v>
      </c>
      <c r="H170" s="11" t="s">
        <v>376</v>
      </c>
      <c r="I170" s="14">
        <v>480</v>
      </c>
    </row>
    <row r="171" spans="2:9">
      <c r="B171" s="25" t="s">
        <v>364</v>
      </c>
      <c r="C171" s="25" t="s">
        <v>307</v>
      </c>
      <c r="D171" s="26" t="s">
        <v>128</v>
      </c>
      <c r="E171" s="26" t="s">
        <v>365</v>
      </c>
      <c r="F171" s="11" t="s">
        <v>378</v>
      </c>
      <c r="G171" s="11">
        <v>1</v>
      </c>
      <c r="H171" s="11" t="s">
        <v>376</v>
      </c>
      <c r="I171" s="14">
        <v>502</v>
      </c>
    </row>
    <row r="172" spans="2:9">
      <c r="B172" s="25" t="s">
        <v>364</v>
      </c>
      <c r="C172" s="25" t="s">
        <v>307</v>
      </c>
      <c r="D172" s="26" t="s">
        <v>128</v>
      </c>
      <c r="E172" s="26" t="s">
        <v>365</v>
      </c>
      <c r="F172" s="11" t="s">
        <v>379</v>
      </c>
      <c r="G172" s="11">
        <v>1</v>
      </c>
      <c r="H172" s="11" t="s">
        <v>376</v>
      </c>
      <c r="I172" s="14">
        <v>358</v>
      </c>
    </row>
    <row r="173" spans="2:9">
      <c r="B173" s="25" t="s">
        <v>364</v>
      </c>
      <c r="C173" s="25" t="s">
        <v>307</v>
      </c>
      <c r="D173" s="26" t="s">
        <v>128</v>
      </c>
      <c r="E173" s="26" t="s">
        <v>365</v>
      </c>
      <c r="F173" s="11" t="s">
        <v>380</v>
      </c>
      <c r="G173" s="11">
        <v>1</v>
      </c>
      <c r="H173" s="11" t="s">
        <v>376</v>
      </c>
      <c r="I173" s="14">
        <v>508</v>
      </c>
    </row>
    <row r="174" spans="2:9">
      <c r="B174" s="25" t="s">
        <v>364</v>
      </c>
      <c r="C174" s="25" t="s">
        <v>307</v>
      </c>
      <c r="D174" s="26" t="s">
        <v>128</v>
      </c>
      <c r="E174" s="26" t="s">
        <v>365</v>
      </c>
      <c r="F174" s="11" t="s">
        <v>381</v>
      </c>
      <c r="G174" s="11">
        <v>1</v>
      </c>
      <c r="H174" s="11" t="s">
        <v>376</v>
      </c>
      <c r="I174" s="14">
        <v>880</v>
      </c>
    </row>
    <row r="175" spans="2:9">
      <c r="B175" s="25" t="s">
        <v>364</v>
      </c>
      <c r="C175" s="25" t="s">
        <v>307</v>
      </c>
      <c r="D175" s="26" t="s">
        <v>128</v>
      </c>
      <c r="E175" s="26" t="s">
        <v>365</v>
      </c>
      <c r="F175" s="11" t="s">
        <v>382</v>
      </c>
      <c r="G175" s="11">
        <v>1</v>
      </c>
      <c r="H175" s="11" t="s">
        <v>376</v>
      </c>
      <c r="I175" s="14">
        <v>580</v>
      </c>
    </row>
    <row r="176" spans="2:9">
      <c r="B176" s="25" t="s">
        <v>364</v>
      </c>
      <c r="C176" s="25" t="s">
        <v>307</v>
      </c>
      <c r="D176" s="26" t="s">
        <v>128</v>
      </c>
      <c r="E176" s="26" t="s">
        <v>365</v>
      </c>
      <c r="F176" s="11" t="s">
        <v>383</v>
      </c>
      <c r="G176" s="11">
        <v>1</v>
      </c>
      <c r="H176" s="11" t="s">
        <v>376</v>
      </c>
      <c r="I176" s="14">
        <v>980</v>
      </c>
    </row>
    <row r="177" spans="2:9">
      <c r="B177" s="25" t="s">
        <v>364</v>
      </c>
      <c r="C177" s="25" t="s">
        <v>307</v>
      </c>
      <c r="D177" s="26" t="s">
        <v>128</v>
      </c>
      <c r="E177" s="26" t="s">
        <v>365</v>
      </c>
      <c r="F177" s="11" t="s">
        <v>384</v>
      </c>
      <c r="G177" s="11">
        <v>1</v>
      </c>
      <c r="H177" s="11" t="s">
        <v>376</v>
      </c>
      <c r="I177" s="14">
        <v>680</v>
      </c>
    </row>
    <row r="178" spans="2:9">
      <c r="B178" s="25" t="s">
        <v>364</v>
      </c>
      <c r="C178" s="25" t="s">
        <v>307</v>
      </c>
      <c r="D178" s="26" t="s">
        <v>128</v>
      </c>
      <c r="E178" s="26" t="s">
        <v>365</v>
      </c>
      <c r="F178" s="11" t="s">
        <v>385</v>
      </c>
      <c r="G178" s="11">
        <v>1</v>
      </c>
      <c r="H178" s="11" t="s">
        <v>376</v>
      </c>
      <c r="I178" s="14">
        <v>680</v>
      </c>
    </row>
    <row r="179" spans="2:9">
      <c r="B179" s="25" t="s">
        <v>364</v>
      </c>
      <c r="C179" s="25" t="s">
        <v>307</v>
      </c>
      <c r="D179" s="26" t="s">
        <v>128</v>
      </c>
      <c r="E179" s="26" t="s">
        <v>365</v>
      </c>
      <c r="F179" s="11" t="s">
        <v>386</v>
      </c>
      <c r="G179" s="11">
        <v>1</v>
      </c>
      <c r="H179" s="11" t="s">
        <v>376</v>
      </c>
      <c r="I179" s="14">
        <v>398</v>
      </c>
    </row>
    <row r="180" spans="2:9">
      <c r="B180" s="25" t="s">
        <v>364</v>
      </c>
      <c r="C180" s="25" t="s">
        <v>307</v>
      </c>
      <c r="D180" s="26" t="s">
        <v>128</v>
      </c>
      <c r="E180" s="27" t="s">
        <v>365</v>
      </c>
      <c r="F180" s="12" t="s">
        <v>387</v>
      </c>
      <c r="G180" s="12">
        <v>1</v>
      </c>
      <c r="H180" s="12" t="s">
        <v>367</v>
      </c>
      <c r="I180" s="13">
        <v>1280</v>
      </c>
    </row>
    <row r="181" spans="2:9">
      <c r="B181" s="25" t="s">
        <v>364</v>
      </c>
      <c r="C181" s="25" t="s">
        <v>307</v>
      </c>
      <c r="D181" s="26" t="s">
        <v>388</v>
      </c>
      <c r="E181" s="10" t="s">
        <v>389</v>
      </c>
      <c r="F181" s="11" t="s">
        <v>390</v>
      </c>
      <c r="G181" s="11">
        <v>1</v>
      </c>
      <c r="H181" s="10" t="s">
        <v>376</v>
      </c>
      <c r="I181" s="14">
        <v>280</v>
      </c>
    </row>
    <row r="182" spans="2:9">
      <c r="B182" s="25" t="s">
        <v>364</v>
      </c>
      <c r="C182" s="25" t="s">
        <v>307</v>
      </c>
      <c r="D182" s="26" t="s">
        <v>388</v>
      </c>
      <c r="E182" s="10" t="s">
        <v>389</v>
      </c>
      <c r="F182" s="11" t="s">
        <v>391</v>
      </c>
      <c r="G182" s="11">
        <v>1</v>
      </c>
      <c r="H182" s="10" t="s">
        <v>376</v>
      </c>
      <c r="I182" s="14">
        <v>380</v>
      </c>
    </row>
    <row r="183" spans="2:9">
      <c r="B183" s="25" t="s">
        <v>364</v>
      </c>
      <c r="C183" s="25" t="s">
        <v>307</v>
      </c>
      <c r="D183" s="26" t="s">
        <v>388</v>
      </c>
      <c r="E183" s="10" t="s">
        <v>389</v>
      </c>
      <c r="F183" s="11" t="s">
        <v>392</v>
      </c>
      <c r="G183" s="11">
        <v>1</v>
      </c>
      <c r="H183" s="10" t="s">
        <v>376</v>
      </c>
      <c r="I183" s="14">
        <v>320</v>
      </c>
    </row>
    <row r="184" spans="2:9">
      <c r="B184" s="25" t="s">
        <v>364</v>
      </c>
      <c r="C184" s="25" t="s">
        <v>307</v>
      </c>
      <c r="D184" s="26" t="s">
        <v>388</v>
      </c>
      <c r="E184" s="10" t="s">
        <v>389</v>
      </c>
      <c r="F184" s="11" t="s">
        <v>393</v>
      </c>
      <c r="G184" s="11">
        <v>1</v>
      </c>
      <c r="H184" s="10" t="s">
        <v>376</v>
      </c>
      <c r="I184" s="14">
        <v>360</v>
      </c>
    </row>
    <row r="185" spans="2:9">
      <c r="B185" s="25" t="s">
        <v>364</v>
      </c>
      <c r="C185" s="25" t="s">
        <v>307</v>
      </c>
      <c r="D185" s="26" t="s">
        <v>388</v>
      </c>
      <c r="E185" s="10" t="s">
        <v>389</v>
      </c>
      <c r="F185" s="11" t="s">
        <v>394</v>
      </c>
      <c r="G185" s="11">
        <v>1</v>
      </c>
      <c r="H185" s="10" t="s">
        <v>374</v>
      </c>
      <c r="I185" s="14">
        <v>360</v>
      </c>
    </row>
    <row r="186" spans="2:9">
      <c r="B186" s="25" t="s">
        <v>364</v>
      </c>
      <c r="C186" s="25" t="s">
        <v>281</v>
      </c>
      <c r="D186" s="27" t="s">
        <v>298</v>
      </c>
      <c r="E186" s="10" t="s">
        <v>395</v>
      </c>
      <c r="F186" s="10" t="s">
        <v>396</v>
      </c>
      <c r="G186" s="11">
        <v>1</v>
      </c>
      <c r="H186" s="11" t="s">
        <v>320</v>
      </c>
      <c r="I186" s="14">
        <v>1990</v>
      </c>
    </row>
    <row r="187" spans="2:9">
      <c r="B187" s="25" t="s">
        <v>364</v>
      </c>
      <c r="C187" s="25" t="s">
        <v>281</v>
      </c>
      <c r="D187" s="27" t="s">
        <v>298</v>
      </c>
      <c r="E187" s="10" t="s">
        <v>395</v>
      </c>
      <c r="F187" s="10" t="s">
        <v>397</v>
      </c>
      <c r="G187" s="11">
        <v>1</v>
      </c>
      <c r="H187" s="11" t="s">
        <v>398</v>
      </c>
      <c r="I187" s="14">
        <v>799</v>
      </c>
    </row>
    <row r="188" spans="2:9">
      <c r="B188" s="25" t="s">
        <v>364</v>
      </c>
      <c r="C188" s="18" t="s">
        <v>307</v>
      </c>
      <c r="D188" s="26" t="s">
        <v>132</v>
      </c>
      <c r="E188" s="15" t="s">
        <v>399</v>
      </c>
      <c r="F188" s="15" t="s">
        <v>400</v>
      </c>
      <c r="G188" s="16">
        <v>1</v>
      </c>
      <c r="H188" s="15" t="s">
        <v>374</v>
      </c>
      <c r="I188" s="17">
        <v>1380</v>
      </c>
    </row>
    <row r="189" spans="2:9">
      <c r="B189" s="25" t="s">
        <v>364</v>
      </c>
      <c r="C189" s="25" t="s">
        <v>401</v>
      </c>
      <c r="D189" s="26" t="s">
        <v>138</v>
      </c>
      <c r="E189" s="10" t="s">
        <v>402</v>
      </c>
      <c r="F189" s="10" t="s">
        <v>403</v>
      </c>
      <c r="G189" s="11">
        <v>1</v>
      </c>
      <c r="H189" s="11" t="s">
        <v>404</v>
      </c>
      <c r="I189" s="14">
        <v>5800</v>
      </c>
    </row>
    <row r="190" spans="2:9">
      <c r="B190" s="25" t="s">
        <v>364</v>
      </c>
      <c r="C190" s="25" t="s">
        <v>401</v>
      </c>
      <c r="D190" s="26" t="s">
        <v>138</v>
      </c>
      <c r="E190" s="10" t="s">
        <v>402</v>
      </c>
      <c r="F190" s="11" t="s">
        <v>405</v>
      </c>
      <c r="G190" s="11">
        <v>1</v>
      </c>
      <c r="H190" s="11" t="s">
        <v>376</v>
      </c>
      <c r="I190" s="14">
        <v>980</v>
      </c>
    </row>
    <row r="191" spans="2:9">
      <c r="B191" s="25" t="s">
        <v>364</v>
      </c>
      <c r="C191" s="25" t="s">
        <v>401</v>
      </c>
      <c r="D191" s="26" t="s">
        <v>138</v>
      </c>
      <c r="E191" s="10" t="s">
        <v>402</v>
      </c>
      <c r="F191" s="11" t="s">
        <v>406</v>
      </c>
      <c r="G191" s="11">
        <v>1</v>
      </c>
      <c r="H191" s="11" t="s">
        <v>404</v>
      </c>
      <c r="I191" s="14">
        <v>2980</v>
      </c>
    </row>
    <row r="192" spans="2:9">
      <c r="B192" s="25" t="s">
        <v>364</v>
      </c>
      <c r="C192" s="25" t="s">
        <v>401</v>
      </c>
      <c r="D192" s="26" t="s">
        <v>138</v>
      </c>
      <c r="E192" s="10" t="s">
        <v>402</v>
      </c>
      <c r="F192" s="11" t="s">
        <v>407</v>
      </c>
      <c r="G192" s="11">
        <v>1</v>
      </c>
      <c r="H192" s="11" t="s">
        <v>376</v>
      </c>
      <c r="I192" s="14">
        <v>480</v>
      </c>
    </row>
    <row r="193" spans="2:9">
      <c r="B193" s="25" t="s">
        <v>364</v>
      </c>
      <c r="C193" s="25" t="s">
        <v>401</v>
      </c>
      <c r="D193" s="26" t="s">
        <v>138</v>
      </c>
      <c r="E193" s="10" t="s">
        <v>402</v>
      </c>
      <c r="F193" s="11" t="s">
        <v>408</v>
      </c>
      <c r="G193" s="11">
        <v>1</v>
      </c>
      <c r="H193" s="11" t="s">
        <v>376</v>
      </c>
      <c r="I193" s="14">
        <v>480</v>
      </c>
    </row>
    <row r="194" spans="2:9">
      <c r="B194" s="25" t="s">
        <v>364</v>
      </c>
      <c r="C194" s="25" t="s">
        <v>401</v>
      </c>
      <c r="D194" s="26" t="s">
        <v>138</v>
      </c>
      <c r="E194" s="10" t="s">
        <v>402</v>
      </c>
      <c r="F194" s="10" t="s">
        <v>409</v>
      </c>
      <c r="G194" s="11">
        <v>1</v>
      </c>
      <c r="H194" s="11" t="s">
        <v>404</v>
      </c>
      <c r="I194" s="14">
        <v>1680</v>
      </c>
    </row>
    <row r="195" spans="2:9">
      <c r="B195" s="25" t="s">
        <v>364</v>
      </c>
      <c r="C195" s="25" t="s">
        <v>401</v>
      </c>
      <c r="D195" s="26" t="s">
        <v>138</v>
      </c>
      <c r="E195" s="10" t="s">
        <v>402</v>
      </c>
      <c r="F195" s="11" t="s">
        <v>410</v>
      </c>
      <c r="G195" s="11">
        <v>1</v>
      </c>
      <c r="H195" s="11" t="s">
        <v>404</v>
      </c>
      <c r="I195" s="14">
        <v>3980</v>
      </c>
    </row>
    <row r="196" spans="2:9">
      <c r="B196" s="25" t="s">
        <v>364</v>
      </c>
      <c r="C196" s="25" t="s">
        <v>401</v>
      </c>
      <c r="D196" s="26" t="s">
        <v>138</v>
      </c>
      <c r="E196" s="10" t="s">
        <v>402</v>
      </c>
      <c r="F196" s="11" t="s">
        <v>411</v>
      </c>
      <c r="G196" s="11">
        <v>1</v>
      </c>
      <c r="H196" s="11" t="s">
        <v>376</v>
      </c>
      <c r="I196" s="14">
        <v>86</v>
      </c>
    </row>
    <row r="197" spans="2:9">
      <c r="B197" s="25" t="s">
        <v>364</v>
      </c>
      <c r="C197" s="25" t="s">
        <v>401</v>
      </c>
      <c r="D197" s="26" t="s">
        <v>138</v>
      </c>
      <c r="E197" s="10" t="s">
        <v>402</v>
      </c>
      <c r="F197" s="11" t="s">
        <v>412</v>
      </c>
      <c r="G197" s="11">
        <v>1</v>
      </c>
      <c r="H197" s="11" t="s">
        <v>376</v>
      </c>
      <c r="I197" s="14">
        <v>680</v>
      </c>
    </row>
    <row r="198" spans="2:9">
      <c r="B198" s="25" t="s">
        <v>364</v>
      </c>
      <c r="C198" s="25" t="s">
        <v>281</v>
      </c>
      <c r="D198" s="26" t="s">
        <v>298</v>
      </c>
      <c r="E198" s="10" t="s">
        <v>413</v>
      </c>
      <c r="F198" s="10" t="s">
        <v>414</v>
      </c>
      <c r="G198" s="10">
        <v>1</v>
      </c>
      <c r="H198" s="10" t="s">
        <v>415</v>
      </c>
      <c r="I198" s="23">
        <v>580</v>
      </c>
    </row>
    <row r="199" spans="2:9">
      <c r="B199" s="25" t="s">
        <v>364</v>
      </c>
      <c r="C199" s="25" t="s">
        <v>281</v>
      </c>
      <c r="D199" s="26" t="s">
        <v>298</v>
      </c>
      <c r="E199" s="10" t="s">
        <v>413</v>
      </c>
      <c r="F199" s="10" t="s">
        <v>414</v>
      </c>
      <c r="G199" s="10">
        <v>1</v>
      </c>
      <c r="H199" s="10" t="s">
        <v>416</v>
      </c>
      <c r="I199" s="23">
        <v>580</v>
      </c>
    </row>
    <row r="200" spans="2:9">
      <c r="B200" s="25" t="s">
        <v>364</v>
      </c>
      <c r="C200" s="25" t="s">
        <v>281</v>
      </c>
      <c r="D200" s="26" t="s">
        <v>298</v>
      </c>
      <c r="E200" s="10" t="s">
        <v>413</v>
      </c>
      <c r="F200" s="10" t="s">
        <v>414</v>
      </c>
      <c r="G200" s="10">
        <v>1</v>
      </c>
      <c r="H200" s="10" t="s">
        <v>417</v>
      </c>
      <c r="I200" s="23">
        <v>580</v>
      </c>
    </row>
    <row r="201" spans="2:9">
      <c r="B201" s="25" t="s">
        <v>364</v>
      </c>
      <c r="C201" s="25" t="s">
        <v>281</v>
      </c>
      <c r="D201" s="26" t="s">
        <v>298</v>
      </c>
      <c r="E201" s="10" t="s">
        <v>413</v>
      </c>
      <c r="F201" s="10" t="s">
        <v>414</v>
      </c>
      <c r="G201" s="10">
        <v>1</v>
      </c>
      <c r="H201" s="10" t="s">
        <v>418</v>
      </c>
      <c r="I201" s="23">
        <v>580</v>
      </c>
    </row>
    <row r="202" spans="2:9">
      <c r="B202" s="25" t="s">
        <v>364</v>
      </c>
      <c r="C202" s="25" t="s">
        <v>281</v>
      </c>
      <c r="D202" s="26" t="s">
        <v>298</v>
      </c>
      <c r="E202" s="10" t="s">
        <v>413</v>
      </c>
      <c r="F202" s="10" t="s">
        <v>414</v>
      </c>
      <c r="G202" s="10">
        <v>1</v>
      </c>
      <c r="H202" s="10" t="s">
        <v>419</v>
      </c>
      <c r="I202" s="23">
        <v>580</v>
      </c>
    </row>
    <row r="203" spans="2:9">
      <c r="B203" s="25" t="s">
        <v>364</v>
      </c>
      <c r="C203" s="25" t="s">
        <v>281</v>
      </c>
      <c r="D203" s="26" t="s">
        <v>298</v>
      </c>
      <c r="E203" s="10" t="s">
        <v>413</v>
      </c>
      <c r="F203" s="10" t="s">
        <v>414</v>
      </c>
      <c r="G203" s="10">
        <v>1</v>
      </c>
      <c r="H203" s="10" t="s">
        <v>420</v>
      </c>
      <c r="I203" s="23">
        <v>580</v>
      </c>
    </row>
    <row r="204" spans="2:9">
      <c r="B204" s="25" t="s">
        <v>364</v>
      </c>
      <c r="C204" s="25" t="s">
        <v>281</v>
      </c>
      <c r="D204" s="26" t="s">
        <v>298</v>
      </c>
      <c r="E204" s="10" t="s">
        <v>413</v>
      </c>
      <c r="F204" s="10" t="s">
        <v>421</v>
      </c>
      <c r="G204" s="10">
        <v>1</v>
      </c>
      <c r="H204" s="10" t="s">
        <v>422</v>
      </c>
      <c r="I204" s="23">
        <v>1580</v>
      </c>
    </row>
    <row r="205" spans="2:9">
      <c r="B205" s="25" t="s">
        <v>364</v>
      </c>
      <c r="C205" s="25" t="s">
        <v>281</v>
      </c>
      <c r="D205" s="26" t="s">
        <v>298</v>
      </c>
      <c r="E205" s="10" t="s">
        <v>413</v>
      </c>
      <c r="F205" s="10" t="s">
        <v>421</v>
      </c>
      <c r="G205" s="10">
        <v>1</v>
      </c>
      <c r="H205" s="10" t="s">
        <v>423</v>
      </c>
      <c r="I205" s="23">
        <v>1580</v>
      </c>
    </row>
    <row r="206" spans="2:9">
      <c r="B206" s="25" t="s">
        <v>364</v>
      </c>
      <c r="C206" s="25" t="s">
        <v>281</v>
      </c>
      <c r="D206" s="26" t="s">
        <v>298</v>
      </c>
      <c r="E206" s="10" t="s">
        <v>413</v>
      </c>
      <c r="F206" s="10" t="s">
        <v>421</v>
      </c>
      <c r="G206" s="10">
        <v>1</v>
      </c>
      <c r="H206" s="10" t="s">
        <v>424</v>
      </c>
      <c r="I206" s="23">
        <v>1580</v>
      </c>
    </row>
    <row r="207" spans="2:9">
      <c r="B207" s="25" t="s">
        <v>364</v>
      </c>
      <c r="C207" s="25" t="s">
        <v>281</v>
      </c>
      <c r="D207" s="26" t="s">
        <v>298</v>
      </c>
      <c r="E207" s="10" t="s">
        <v>413</v>
      </c>
      <c r="F207" s="10" t="s">
        <v>421</v>
      </c>
      <c r="G207" s="10">
        <v>1</v>
      </c>
      <c r="H207" s="10" t="s">
        <v>425</v>
      </c>
      <c r="I207" s="23">
        <v>1580</v>
      </c>
    </row>
    <row r="208" spans="2:9">
      <c r="B208" s="25" t="s">
        <v>364</v>
      </c>
      <c r="C208" s="25" t="s">
        <v>281</v>
      </c>
      <c r="D208" s="26" t="s">
        <v>298</v>
      </c>
      <c r="E208" s="10" t="s">
        <v>413</v>
      </c>
      <c r="F208" s="10" t="s">
        <v>421</v>
      </c>
      <c r="G208" s="10">
        <v>1</v>
      </c>
      <c r="H208" s="10" t="s">
        <v>426</v>
      </c>
      <c r="I208" s="23">
        <v>1580</v>
      </c>
    </row>
    <row r="209" spans="2:9">
      <c r="B209" s="25" t="s">
        <v>364</v>
      </c>
      <c r="C209" s="25" t="s">
        <v>281</v>
      </c>
      <c r="D209" s="26" t="s">
        <v>298</v>
      </c>
      <c r="E209" s="10" t="s">
        <v>413</v>
      </c>
      <c r="F209" s="10" t="s">
        <v>421</v>
      </c>
      <c r="G209" s="10">
        <v>1</v>
      </c>
      <c r="H209" s="10" t="s">
        <v>427</v>
      </c>
      <c r="I209" s="23">
        <v>1580</v>
      </c>
    </row>
    <row r="210" spans="2:9">
      <c r="B210" s="25" t="s">
        <v>364</v>
      </c>
      <c r="C210" s="25" t="s">
        <v>281</v>
      </c>
      <c r="D210" s="26" t="s">
        <v>298</v>
      </c>
      <c r="E210" s="10" t="s">
        <v>413</v>
      </c>
      <c r="F210" s="10" t="s">
        <v>421</v>
      </c>
      <c r="G210" s="10">
        <v>1</v>
      </c>
      <c r="H210" s="10" t="s">
        <v>428</v>
      </c>
      <c r="I210" s="23">
        <v>1580</v>
      </c>
    </row>
    <row r="211" spans="2:9">
      <c r="B211" s="25" t="s">
        <v>364</v>
      </c>
      <c r="C211" s="25" t="s">
        <v>281</v>
      </c>
      <c r="D211" s="26" t="s">
        <v>298</v>
      </c>
      <c r="E211" s="10" t="s">
        <v>413</v>
      </c>
      <c r="F211" s="10" t="s">
        <v>421</v>
      </c>
      <c r="G211" s="10">
        <v>1</v>
      </c>
      <c r="H211" s="10" t="s">
        <v>429</v>
      </c>
      <c r="I211" s="23">
        <v>1580</v>
      </c>
    </row>
    <row r="212" spans="2:9">
      <c r="B212" s="25" t="s">
        <v>364</v>
      </c>
      <c r="C212" s="25" t="s">
        <v>281</v>
      </c>
      <c r="D212" s="26" t="s">
        <v>298</v>
      </c>
      <c r="E212" s="10" t="s">
        <v>413</v>
      </c>
      <c r="F212" s="10" t="s">
        <v>421</v>
      </c>
      <c r="G212" s="10">
        <v>1</v>
      </c>
      <c r="H212" s="10" t="s">
        <v>430</v>
      </c>
      <c r="I212" s="23">
        <v>1580</v>
      </c>
    </row>
    <row r="213" spans="2:9">
      <c r="B213" s="25" t="s">
        <v>364</v>
      </c>
      <c r="C213" s="25" t="s">
        <v>281</v>
      </c>
      <c r="D213" s="26" t="s">
        <v>298</v>
      </c>
      <c r="E213" s="10" t="s">
        <v>413</v>
      </c>
      <c r="F213" s="10" t="s">
        <v>421</v>
      </c>
      <c r="G213" s="10">
        <v>1</v>
      </c>
      <c r="H213" s="10" t="s">
        <v>431</v>
      </c>
      <c r="I213" s="23">
        <v>1580</v>
      </c>
    </row>
    <row r="214" spans="2:9">
      <c r="B214" s="25" t="s">
        <v>364</v>
      </c>
      <c r="C214" s="25" t="s">
        <v>281</v>
      </c>
      <c r="D214" s="26" t="s">
        <v>298</v>
      </c>
      <c r="E214" s="10" t="s">
        <v>413</v>
      </c>
      <c r="F214" s="10" t="s">
        <v>421</v>
      </c>
      <c r="G214" s="10">
        <v>1</v>
      </c>
      <c r="H214" s="10" t="s">
        <v>432</v>
      </c>
      <c r="I214" s="23">
        <v>1580</v>
      </c>
    </row>
    <row r="215" spans="2:9">
      <c r="B215" s="25" t="s">
        <v>364</v>
      </c>
      <c r="C215" s="25" t="s">
        <v>281</v>
      </c>
      <c r="D215" s="26" t="s">
        <v>298</v>
      </c>
      <c r="E215" s="10" t="s">
        <v>413</v>
      </c>
      <c r="F215" s="10" t="s">
        <v>421</v>
      </c>
      <c r="G215" s="10">
        <v>1</v>
      </c>
      <c r="H215" s="10" t="s">
        <v>433</v>
      </c>
      <c r="I215" s="23">
        <v>1580</v>
      </c>
    </row>
    <row r="216" spans="2:9">
      <c r="B216" s="25" t="s">
        <v>364</v>
      </c>
      <c r="C216" s="25" t="s">
        <v>281</v>
      </c>
      <c r="D216" s="26" t="s">
        <v>298</v>
      </c>
      <c r="E216" s="10" t="s">
        <v>413</v>
      </c>
      <c r="F216" s="10" t="s">
        <v>421</v>
      </c>
      <c r="G216" s="10">
        <v>1</v>
      </c>
      <c r="H216" s="10" t="s">
        <v>434</v>
      </c>
      <c r="I216" s="23">
        <v>1580</v>
      </c>
    </row>
    <row r="217" spans="2:9">
      <c r="B217" s="25" t="s">
        <v>364</v>
      </c>
      <c r="C217" s="25" t="s">
        <v>281</v>
      </c>
      <c r="D217" s="26" t="s">
        <v>298</v>
      </c>
      <c r="E217" s="10" t="s">
        <v>413</v>
      </c>
      <c r="F217" s="10" t="s">
        <v>421</v>
      </c>
      <c r="G217" s="10">
        <v>1</v>
      </c>
      <c r="H217" s="10" t="s">
        <v>435</v>
      </c>
      <c r="I217" s="23">
        <v>1580</v>
      </c>
    </row>
    <row r="218" spans="2:9">
      <c r="B218" s="25" t="s">
        <v>364</v>
      </c>
      <c r="C218" s="25" t="s">
        <v>281</v>
      </c>
      <c r="D218" s="26" t="s">
        <v>298</v>
      </c>
      <c r="E218" s="10" t="s">
        <v>413</v>
      </c>
      <c r="F218" s="10" t="s">
        <v>421</v>
      </c>
      <c r="G218" s="10">
        <v>1</v>
      </c>
      <c r="H218" s="10" t="s">
        <v>436</v>
      </c>
      <c r="I218" s="23">
        <v>1580</v>
      </c>
    </row>
    <row r="219" spans="2:9">
      <c r="B219" s="25" t="s">
        <v>364</v>
      </c>
      <c r="C219" s="25" t="s">
        <v>281</v>
      </c>
      <c r="D219" s="26" t="s">
        <v>298</v>
      </c>
      <c r="E219" s="10" t="s">
        <v>413</v>
      </c>
      <c r="F219" s="10" t="s">
        <v>421</v>
      </c>
      <c r="G219" s="10">
        <v>1</v>
      </c>
      <c r="H219" s="10" t="s">
        <v>437</v>
      </c>
      <c r="I219" s="23">
        <v>1580</v>
      </c>
    </row>
    <row r="220" spans="2:9">
      <c r="B220" s="25" t="s">
        <v>364</v>
      </c>
      <c r="C220" s="25" t="s">
        <v>281</v>
      </c>
      <c r="D220" s="26" t="s">
        <v>298</v>
      </c>
      <c r="E220" s="10" t="s">
        <v>413</v>
      </c>
      <c r="F220" s="10" t="s">
        <v>421</v>
      </c>
      <c r="G220" s="10">
        <v>1</v>
      </c>
      <c r="H220" s="10" t="s">
        <v>438</v>
      </c>
      <c r="I220" s="23">
        <v>1580</v>
      </c>
    </row>
    <row r="221" spans="2:9">
      <c r="B221" s="25" t="s">
        <v>364</v>
      </c>
      <c r="C221" s="25" t="s">
        <v>281</v>
      </c>
      <c r="D221" s="26" t="s">
        <v>298</v>
      </c>
      <c r="E221" s="10" t="s">
        <v>413</v>
      </c>
      <c r="F221" s="10" t="s">
        <v>421</v>
      </c>
      <c r="G221" s="10">
        <v>1</v>
      </c>
      <c r="H221" s="10" t="s">
        <v>439</v>
      </c>
      <c r="I221" s="23">
        <v>1580</v>
      </c>
    </row>
    <row r="222" spans="2:9">
      <c r="B222" s="25" t="s">
        <v>364</v>
      </c>
      <c r="C222" s="25" t="s">
        <v>281</v>
      </c>
      <c r="D222" s="26" t="s">
        <v>298</v>
      </c>
      <c r="E222" s="10" t="s">
        <v>413</v>
      </c>
      <c r="F222" s="10" t="s">
        <v>421</v>
      </c>
      <c r="G222" s="10">
        <v>1</v>
      </c>
      <c r="H222" s="10" t="s">
        <v>440</v>
      </c>
      <c r="I222" s="23">
        <v>1580</v>
      </c>
    </row>
    <row r="223" spans="2:9">
      <c r="B223" s="25" t="s">
        <v>364</v>
      </c>
      <c r="C223" s="25" t="s">
        <v>281</v>
      </c>
      <c r="D223" s="26" t="s">
        <v>298</v>
      </c>
      <c r="E223" s="10" t="s">
        <v>413</v>
      </c>
      <c r="F223" s="10" t="s">
        <v>421</v>
      </c>
      <c r="G223" s="10">
        <v>1</v>
      </c>
      <c r="H223" s="10" t="s">
        <v>441</v>
      </c>
      <c r="I223" s="23">
        <v>1580</v>
      </c>
    </row>
    <row r="224" spans="2:9">
      <c r="B224" s="25" t="s">
        <v>364</v>
      </c>
      <c r="C224" s="25" t="s">
        <v>281</v>
      </c>
      <c r="D224" s="26" t="s">
        <v>298</v>
      </c>
      <c r="E224" s="10" t="s">
        <v>413</v>
      </c>
      <c r="F224" s="10" t="s">
        <v>421</v>
      </c>
      <c r="G224" s="10">
        <v>1</v>
      </c>
      <c r="H224" s="10" t="s">
        <v>442</v>
      </c>
      <c r="I224" s="23">
        <v>1580</v>
      </c>
    </row>
    <row r="225" spans="2:9">
      <c r="B225" s="25" t="s">
        <v>364</v>
      </c>
      <c r="C225" s="25" t="s">
        <v>281</v>
      </c>
      <c r="D225" s="26" t="s">
        <v>298</v>
      </c>
      <c r="E225" s="10" t="s">
        <v>413</v>
      </c>
      <c r="F225" s="10" t="s">
        <v>421</v>
      </c>
      <c r="G225" s="10">
        <v>1</v>
      </c>
      <c r="H225" s="10" t="s">
        <v>443</v>
      </c>
      <c r="I225" s="23">
        <v>1580</v>
      </c>
    </row>
    <row r="226" spans="2:9">
      <c r="B226" s="25" t="s">
        <v>364</v>
      </c>
      <c r="C226" s="25" t="s">
        <v>281</v>
      </c>
      <c r="D226" s="26" t="s">
        <v>298</v>
      </c>
      <c r="E226" s="10" t="s">
        <v>413</v>
      </c>
      <c r="F226" s="10" t="s">
        <v>421</v>
      </c>
      <c r="G226" s="10">
        <v>1</v>
      </c>
      <c r="H226" s="10" t="s">
        <v>444</v>
      </c>
      <c r="I226" s="23">
        <v>1580</v>
      </c>
    </row>
    <row r="227" spans="2:9">
      <c r="B227" s="25" t="s">
        <v>364</v>
      </c>
      <c r="C227" s="25" t="s">
        <v>281</v>
      </c>
      <c r="D227" s="26" t="s">
        <v>298</v>
      </c>
      <c r="E227" s="10" t="s">
        <v>413</v>
      </c>
      <c r="F227" s="10" t="s">
        <v>421</v>
      </c>
      <c r="G227" s="10">
        <v>1</v>
      </c>
      <c r="H227" s="10" t="s">
        <v>445</v>
      </c>
      <c r="I227" s="23">
        <v>1580</v>
      </c>
    </row>
    <row r="228" spans="2:9">
      <c r="B228" s="25" t="s">
        <v>364</v>
      </c>
      <c r="C228" s="25" t="s">
        <v>281</v>
      </c>
      <c r="D228" s="26" t="s">
        <v>298</v>
      </c>
      <c r="E228" s="10" t="s">
        <v>413</v>
      </c>
      <c r="F228" s="10" t="s">
        <v>421</v>
      </c>
      <c r="G228" s="10">
        <v>1</v>
      </c>
      <c r="H228" s="10" t="s">
        <v>446</v>
      </c>
      <c r="I228" s="23">
        <v>1580</v>
      </c>
    </row>
    <row r="229" spans="2:9">
      <c r="B229" s="25" t="s">
        <v>364</v>
      </c>
      <c r="C229" s="25" t="s">
        <v>281</v>
      </c>
      <c r="D229" s="26" t="s">
        <v>298</v>
      </c>
      <c r="E229" s="10" t="s">
        <v>413</v>
      </c>
      <c r="F229" s="10" t="s">
        <v>421</v>
      </c>
      <c r="G229" s="10">
        <v>1</v>
      </c>
      <c r="H229" s="10" t="s">
        <v>447</v>
      </c>
      <c r="I229" s="23">
        <v>1580</v>
      </c>
    </row>
    <row r="230" spans="2:9">
      <c r="B230" s="25" t="s">
        <v>364</v>
      </c>
      <c r="C230" s="25" t="s">
        <v>281</v>
      </c>
      <c r="D230" s="26" t="s">
        <v>298</v>
      </c>
      <c r="E230" s="10" t="s">
        <v>413</v>
      </c>
      <c r="F230" s="10" t="s">
        <v>421</v>
      </c>
      <c r="G230" s="10">
        <v>1</v>
      </c>
      <c r="H230" s="10" t="s">
        <v>448</v>
      </c>
      <c r="I230" s="23">
        <v>1580</v>
      </c>
    </row>
    <row r="231" spans="2:9">
      <c r="B231" s="25" t="s">
        <v>364</v>
      </c>
      <c r="C231" s="25" t="s">
        <v>281</v>
      </c>
      <c r="D231" s="26" t="s">
        <v>298</v>
      </c>
      <c r="E231" s="10" t="s">
        <v>413</v>
      </c>
      <c r="F231" s="10" t="s">
        <v>421</v>
      </c>
      <c r="G231" s="10">
        <v>1</v>
      </c>
      <c r="H231" s="10" t="s">
        <v>449</v>
      </c>
      <c r="I231" s="23">
        <v>1580</v>
      </c>
    </row>
    <row r="232" spans="2:9">
      <c r="B232" s="25" t="s">
        <v>364</v>
      </c>
      <c r="C232" s="25" t="s">
        <v>281</v>
      </c>
      <c r="D232" s="26" t="s">
        <v>298</v>
      </c>
      <c r="E232" s="10" t="s">
        <v>413</v>
      </c>
      <c r="F232" s="10" t="s">
        <v>421</v>
      </c>
      <c r="G232" s="10">
        <v>1</v>
      </c>
      <c r="H232" s="10" t="s">
        <v>450</v>
      </c>
      <c r="I232" s="23">
        <v>1580</v>
      </c>
    </row>
    <row r="233" spans="2:9">
      <c r="B233" s="25" t="s">
        <v>364</v>
      </c>
      <c r="C233" s="25" t="s">
        <v>281</v>
      </c>
      <c r="D233" s="26" t="s">
        <v>298</v>
      </c>
      <c r="E233" s="10" t="s">
        <v>413</v>
      </c>
      <c r="F233" s="10" t="s">
        <v>421</v>
      </c>
      <c r="G233" s="10">
        <v>1</v>
      </c>
      <c r="H233" s="10" t="s">
        <v>451</v>
      </c>
      <c r="I233" s="23">
        <v>1580</v>
      </c>
    </row>
    <row r="234" spans="2:9">
      <c r="B234" s="25" t="s">
        <v>364</v>
      </c>
      <c r="C234" s="25" t="s">
        <v>281</v>
      </c>
      <c r="D234" s="26" t="s">
        <v>298</v>
      </c>
      <c r="E234" s="10" t="s">
        <v>413</v>
      </c>
      <c r="F234" s="10" t="s">
        <v>421</v>
      </c>
      <c r="G234" s="10">
        <v>1</v>
      </c>
      <c r="H234" s="10" t="s">
        <v>452</v>
      </c>
      <c r="I234" s="23">
        <v>1580</v>
      </c>
    </row>
    <row r="235" spans="2:9">
      <c r="B235" s="25" t="s">
        <v>364</v>
      </c>
      <c r="C235" s="25" t="s">
        <v>281</v>
      </c>
      <c r="D235" s="26" t="s">
        <v>298</v>
      </c>
      <c r="E235" s="10" t="s">
        <v>413</v>
      </c>
      <c r="F235" s="10" t="s">
        <v>453</v>
      </c>
      <c r="G235" s="10">
        <v>1</v>
      </c>
      <c r="H235" s="10" t="s">
        <v>454</v>
      </c>
      <c r="I235" s="23">
        <v>5800</v>
      </c>
    </row>
    <row r="236" spans="2:9">
      <c r="B236" s="25" t="s">
        <v>364</v>
      </c>
      <c r="C236" s="25" t="s">
        <v>281</v>
      </c>
      <c r="D236" s="26" t="s">
        <v>298</v>
      </c>
      <c r="E236" s="10" t="s">
        <v>413</v>
      </c>
      <c r="F236" s="10" t="s">
        <v>453</v>
      </c>
      <c r="G236" s="10">
        <v>1</v>
      </c>
      <c r="H236" s="10" t="s">
        <v>455</v>
      </c>
      <c r="I236" s="23">
        <v>5800</v>
      </c>
    </row>
    <row r="237" spans="2:9">
      <c r="B237" s="25" t="s">
        <v>364</v>
      </c>
      <c r="C237" s="25" t="s">
        <v>281</v>
      </c>
      <c r="D237" s="26" t="s">
        <v>298</v>
      </c>
      <c r="E237" s="10" t="s">
        <v>413</v>
      </c>
      <c r="F237" s="10" t="s">
        <v>453</v>
      </c>
      <c r="G237" s="10">
        <v>1</v>
      </c>
      <c r="H237" s="10" t="s">
        <v>456</v>
      </c>
      <c r="I237" s="23">
        <v>5800</v>
      </c>
    </row>
    <row r="238" spans="2:9">
      <c r="B238" s="25" t="s">
        <v>364</v>
      </c>
      <c r="C238" s="25" t="s">
        <v>281</v>
      </c>
      <c r="D238" s="26" t="s">
        <v>298</v>
      </c>
      <c r="E238" s="10" t="s">
        <v>413</v>
      </c>
      <c r="F238" s="10" t="s">
        <v>453</v>
      </c>
      <c r="G238" s="10">
        <v>1</v>
      </c>
      <c r="H238" s="10" t="s">
        <v>457</v>
      </c>
      <c r="I238" s="23">
        <v>5800</v>
      </c>
    </row>
    <row r="239" spans="2:9">
      <c r="B239" s="25" t="s">
        <v>364</v>
      </c>
      <c r="C239" s="25" t="s">
        <v>281</v>
      </c>
      <c r="D239" s="26" t="s">
        <v>298</v>
      </c>
      <c r="E239" s="10" t="s">
        <v>413</v>
      </c>
      <c r="F239" s="10" t="s">
        <v>453</v>
      </c>
      <c r="G239" s="10">
        <v>1</v>
      </c>
      <c r="H239" s="10" t="s">
        <v>458</v>
      </c>
      <c r="I239" s="23">
        <v>5800</v>
      </c>
    </row>
    <row r="240" spans="2:9">
      <c r="B240" s="25" t="s">
        <v>364</v>
      </c>
      <c r="C240" s="25" t="s">
        <v>281</v>
      </c>
      <c r="D240" s="26" t="s">
        <v>298</v>
      </c>
      <c r="E240" s="10" t="s">
        <v>413</v>
      </c>
      <c r="F240" s="10" t="s">
        <v>453</v>
      </c>
      <c r="G240" s="10">
        <v>1</v>
      </c>
      <c r="H240" s="10" t="s">
        <v>452</v>
      </c>
      <c r="I240" s="23">
        <v>5800</v>
      </c>
    </row>
    <row r="241" spans="2:9">
      <c r="B241" s="25" t="s">
        <v>364</v>
      </c>
      <c r="C241" s="25" t="s">
        <v>281</v>
      </c>
      <c r="D241" s="26" t="s">
        <v>298</v>
      </c>
      <c r="E241" s="10" t="s">
        <v>413</v>
      </c>
      <c r="F241" s="10" t="s">
        <v>459</v>
      </c>
      <c r="G241" s="10">
        <v>1</v>
      </c>
      <c r="H241" s="10" t="s">
        <v>460</v>
      </c>
      <c r="I241" s="23">
        <v>6380</v>
      </c>
    </row>
    <row r="242" spans="2:9">
      <c r="B242" s="25" t="s">
        <v>364</v>
      </c>
      <c r="C242" s="25" t="s">
        <v>281</v>
      </c>
      <c r="D242" s="26" t="s">
        <v>298</v>
      </c>
      <c r="E242" s="10" t="s">
        <v>413</v>
      </c>
      <c r="F242" s="10" t="s">
        <v>459</v>
      </c>
      <c r="G242" s="10">
        <v>1</v>
      </c>
      <c r="H242" s="10" t="s">
        <v>461</v>
      </c>
      <c r="I242" s="23">
        <v>6380</v>
      </c>
    </row>
    <row r="243" spans="2:9">
      <c r="B243" s="25" t="s">
        <v>364</v>
      </c>
      <c r="C243" s="25" t="s">
        <v>281</v>
      </c>
      <c r="D243" s="26" t="s">
        <v>298</v>
      </c>
      <c r="E243" s="10" t="s">
        <v>413</v>
      </c>
      <c r="F243" s="10" t="s">
        <v>459</v>
      </c>
      <c r="G243" s="10">
        <v>1</v>
      </c>
      <c r="H243" s="10" t="s">
        <v>462</v>
      </c>
      <c r="I243" s="23">
        <v>6380</v>
      </c>
    </row>
    <row r="244" spans="2:9">
      <c r="B244" s="25" t="s">
        <v>364</v>
      </c>
      <c r="C244" s="25" t="s">
        <v>281</v>
      </c>
      <c r="D244" s="26" t="s">
        <v>298</v>
      </c>
      <c r="E244" s="10" t="s">
        <v>413</v>
      </c>
      <c r="F244" s="10" t="s">
        <v>459</v>
      </c>
      <c r="G244" s="10">
        <v>1</v>
      </c>
      <c r="H244" s="10" t="s">
        <v>463</v>
      </c>
      <c r="I244" s="23">
        <v>6380</v>
      </c>
    </row>
    <row r="245" spans="2:9">
      <c r="B245" s="25" t="s">
        <v>364</v>
      </c>
      <c r="C245" s="25" t="s">
        <v>281</v>
      </c>
      <c r="D245" s="26" t="s">
        <v>298</v>
      </c>
      <c r="E245" s="10" t="s">
        <v>413</v>
      </c>
      <c r="F245" s="10" t="s">
        <v>459</v>
      </c>
      <c r="G245" s="10">
        <v>1</v>
      </c>
      <c r="H245" s="10" t="s">
        <v>464</v>
      </c>
      <c r="I245" s="23">
        <v>6380</v>
      </c>
    </row>
    <row r="246" spans="2:9">
      <c r="B246" s="25" t="s">
        <v>364</v>
      </c>
      <c r="C246" s="25" t="s">
        <v>281</v>
      </c>
      <c r="D246" s="22" t="s">
        <v>298</v>
      </c>
      <c r="E246" s="15" t="s">
        <v>413</v>
      </c>
      <c r="F246" s="15" t="s">
        <v>465</v>
      </c>
      <c r="G246" s="15">
        <v>1</v>
      </c>
      <c r="H246" s="15" t="s">
        <v>422</v>
      </c>
      <c r="I246" s="28">
        <v>1680</v>
      </c>
    </row>
    <row r="247" spans="2:9">
      <c r="B247" s="25" t="s">
        <v>364</v>
      </c>
      <c r="C247" s="25" t="s">
        <v>281</v>
      </c>
      <c r="D247" s="22" t="s">
        <v>298</v>
      </c>
      <c r="E247" s="15" t="s">
        <v>413</v>
      </c>
      <c r="F247" s="15" t="s">
        <v>465</v>
      </c>
      <c r="G247" s="15">
        <v>1</v>
      </c>
      <c r="H247" s="15" t="s">
        <v>423</v>
      </c>
      <c r="I247" s="28">
        <v>1680</v>
      </c>
    </row>
    <row r="248" spans="2:9">
      <c r="B248" s="25" t="s">
        <v>364</v>
      </c>
      <c r="C248" s="25" t="s">
        <v>281</v>
      </c>
      <c r="D248" s="22" t="s">
        <v>298</v>
      </c>
      <c r="E248" s="15" t="s">
        <v>413</v>
      </c>
      <c r="F248" s="15" t="s">
        <v>465</v>
      </c>
      <c r="G248" s="15">
        <v>1</v>
      </c>
      <c r="H248" s="15" t="s">
        <v>424</v>
      </c>
      <c r="I248" s="28">
        <v>1680</v>
      </c>
    </row>
    <row r="249" spans="2:9">
      <c r="B249" s="25" t="s">
        <v>364</v>
      </c>
      <c r="C249" s="25" t="s">
        <v>281</v>
      </c>
      <c r="D249" s="22" t="s">
        <v>298</v>
      </c>
      <c r="E249" s="15" t="s">
        <v>413</v>
      </c>
      <c r="F249" s="15" t="s">
        <v>465</v>
      </c>
      <c r="G249" s="15">
        <v>1</v>
      </c>
      <c r="H249" s="15" t="s">
        <v>425</v>
      </c>
      <c r="I249" s="28">
        <v>1680</v>
      </c>
    </row>
    <row r="250" spans="2:9">
      <c r="B250" s="25" t="s">
        <v>364</v>
      </c>
      <c r="C250" s="25" t="s">
        <v>281</v>
      </c>
      <c r="D250" s="22" t="s">
        <v>298</v>
      </c>
      <c r="E250" s="15" t="s">
        <v>413</v>
      </c>
      <c r="F250" s="15" t="s">
        <v>465</v>
      </c>
      <c r="G250" s="15">
        <v>1</v>
      </c>
      <c r="H250" s="15" t="s">
        <v>426</v>
      </c>
      <c r="I250" s="28">
        <v>1680</v>
      </c>
    </row>
    <row r="251" spans="2:9">
      <c r="B251" s="25" t="s">
        <v>364</v>
      </c>
      <c r="C251" s="25" t="s">
        <v>281</v>
      </c>
      <c r="D251" s="22" t="s">
        <v>298</v>
      </c>
      <c r="E251" s="15" t="s">
        <v>413</v>
      </c>
      <c r="F251" s="15" t="s">
        <v>465</v>
      </c>
      <c r="G251" s="15">
        <v>1</v>
      </c>
      <c r="H251" s="15" t="s">
        <v>427</v>
      </c>
      <c r="I251" s="28">
        <v>1680</v>
      </c>
    </row>
    <row r="252" spans="2:9">
      <c r="B252" s="25" t="s">
        <v>364</v>
      </c>
      <c r="C252" s="25" t="s">
        <v>281</v>
      </c>
      <c r="D252" s="22" t="s">
        <v>298</v>
      </c>
      <c r="E252" s="15" t="s">
        <v>413</v>
      </c>
      <c r="F252" s="15" t="s">
        <v>465</v>
      </c>
      <c r="G252" s="15">
        <v>1</v>
      </c>
      <c r="H252" s="15" t="s">
        <v>428</v>
      </c>
      <c r="I252" s="28">
        <v>1680</v>
      </c>
    </row>
    <row r="253" spans="2:9">
      <c r="B253" s="25" t="s">
        <v>364</v>
      </c>
      <c r="C253" s="25" t="s">
        <v>281</v>
      </c>
      <c r="D253" s="22" t="s">
        <v>298</v>
      </c>
      <c r="E253" s="15" t="s">
        <v>413</v>
      </c>
      <c r="F253" s="15" t="s">
        <v>465</v>
      </c>
      <c r="G253" s="15">
        <v>1</v>
      </c>
      <c r="H253" s="15" t="s">
        <v>429</v>
      </c>
      <c r="I253" s="28">
        <v>1680</v>
      </c>
    </row>
    <row r="254" spans="2:9">
      <c r="B254" s="25" t="s">
        <v>364</v>
      </c>
      <c r="C254" s="25" t="s">
        <v>281</v>
      </c>
      <c r="D254" s="22" t="s">
        <v>298</v>
      </c>
      <c r="E254" s="15" t="s">
        <v>413</v>
      </c>
      <c r="F254" s="15" t="s">
        <v>465</v>
      </c>
      <c r="G254" s="15">
        <v>1</v>
      </c>
      <c r="H254" s="15" t="s">
        <v>430</v>
      </c>
      <c r="I254" s="28">
        <v>1680</v>
      </c>
    </row>
    <row r="255" spans="2:9">
      <c r="B255" s="25" t="s">
        <v>364</v>
      </c>
      <c r="C255" s="25" t="s">
        <v>281</v>
      </c>
      <c r="D255" s="22" t="s">
        <v>298</v>
      </c>
      <c r="E255" s="15" t="s">
        <v>413</v>
      </c>
      <c r="F255" s="15" t="s">
        <v>465</v>
      </c>
      <c r="G255" s="15">
        <v>1</v>
      </c>
      <c r="H255" s="15" t="s">
        <v>431</v>
      </c>
      <c r="I255" s="28">
        <v>1680</v>
      </c>
    </row>
    <row r="256" spans="2:9">
      <c r="B256" s="25" t="s">
        <v>364</v>
      </c>
      <c r="C256" s="25" t="s">
        <v>281</v>
      </c>
      <c r="D256" s="22" t="s">
        <v>298</v>
      </c>
      <c r="E256" s="15" t="s">
        <v>413</v>
      </c>
      <c r="F256" s="15" t="s">
        <v>465</v>
      </c>
      <c r="G256" s="15">
        <v>1</v>
      </c>
      <c r="H256" s="15" t="s">
        <v>432</v>
      </c>
      <c r="I256" s="28">
        <v>1680</v>
      </c>
    </row>
    <row r="257" spans="2:9">
      <c r="B257" s="25" t="s">
        <v>364</v>
      </c>
      <c r="C257" s="25" t="s">
        <v>281</v>
      </c>
      <c r="D257" s="22" t="s">
        <v>298</v>
      </c>
      <c r="E257" s="15" t="s">
        <v>413</v>
      </c>
      <c r="F257" s="15" t="s">
        <v>465</v>
      </c>
      <c r="G257" s="15">
        <v>1</v>
      </c>
      <c r="H257" s="15" t="s">
        <v>433</v>
      </c>
      <c r="I257" s="28">
        <v>1680</v>
      </c>
    </row>
    <row r="258" spans="2:9">
      <c r="B258" s="25" t="s">
        <v>364</v>
      </c>
      <c r="C258" s="25" t="s">
        <v>281</v>
      </c>
      <c r="D258" s="22" t="s">
        <v>298</v>
      </c>
      <c r="E258" s="15" t="s">
        <v>413</v>
      </c>
      <c r="F258" s="15" t="s">
        <v>465</v>
      </c>
      <c r="G258" s="15">
        <v>1</v>
      </c>
      <c r="H258" s="15" t="s">
        <v>434</v>
      </c>
      <c r="I258" s="28">
        <v>1680</v>
      </c>
    </row>
    <row r="259" spans="2:9">
      <c r="B259" s="25" t="s">
        <v>364</v>
      </c>
      <c r="C259" s="25" t="s">
        <v>281</v>
      </c>
      <c r="D259" s="22" t="s">
        <v>298</v>
      </c>
      <c r="E259" s="15" t="s">
        <v>413</v>
      </c>
      <c r="F259" s="15" t="s">
        <v>465</v>
      </c>
      <c r="G259" s="15">
        <v>1</v>
      </c>
      <c r="H259" s="15" t="s">
        <v>435</v>
      </c>
      <c r="I259" s="28">
        <v>1680</v>
      </c>
    </row>
    <row r="260" spans="2:9">
      <c r="B260" s="25" t="s">
        <v>364</v>
      </c>
      <c r="C260" s="25" t="s">
        <v>281</v>
      </c>
      <c r="D260" s="22" t="s">
        <v>298</v>
      </c>
      <c r="E260" s="15" t="s">
        <v>413</v>
      </c>
      <c r="F260" s="15" t="s">
        <v>465</v>
      </c>
      <c r="G260" s="15">
        <v>1</v>
      </c>
      <c r="H260" s="15" t="s">
        <v>436</v>
      </c>
      <c r="I260" s="28">
        <v>1680</v>
      </c>
    </row>
    <row r="261" spans="2:9">
      <c r="B261" s="25" t="s">
        <v>364</v>
      </c>
      <c r="C261" s="25" t="s">
        <v>281</v>
      </c>
      <c r="D261" s="22" t="s">
        <v>298</v>
      </c>
      <c r="E261" s="15" t="s">
        <v>413</v>
      </c>
      <c r="F261" s="15" t="s">
        <v>465</v>
      </c>
      <c r="G261" s="15">
        <v>1</v>
      </c>
      <c r="H261" s="15" t="s">
        <v>437</v>
      </c>
      <c r="I261" s="28">
        <v>1680</v>
      </c>
    </row>
    <row r="262" spans="2:9">
      <c r="B262" s="25" t="s">
        <v>364</v>
      </c>
      <c r="C262" s="25" t="s">
        <v>281</v>
      </c>
      <c r="D262" s="22" t="s">
        <v>298</v>
      </c>
      <c r="E262" s="15" t="s">
        <v>413</v>
      </c>
      <c r="F262" s="15" t="s">
        <v>465</v>
      </c>
      <c r="G262" s="15">
        <v>1</v>
      </c>
      <c r="H262" s="15" t="s">
        <v>438</v>
      </c>
      <c r="I262" s="28">
        <v>1680</v>
      </c>
    </row>
    <row r="263" spans="2:9">
      <c r="B263" s="25" t="s">
        <v>364</v>
      </c>
      <c r="C263" s="25" t="s">
        <v>281</v>
      </c>
      <c r="D263" s="22" t="s">
        <v>298</v>
      </c>
      <c r="E263" s="15" t="s">
        <v>413</v>
      </c>
      <c r="F263" s="15" t="s">
        <v>465</v>
      </c>
      <c r="G263" s="15">
        <v>1</v>
      </c>
      <c r="H263" s="15" t="s">
        <v>439</v>
      </c>
      <c r="I263" s="28">
        <v>1680</v>
      </c>
    </row>
    <row r="264" spans="2:9">
      <c r="B264" s="25" t="s">
        <v>364</v>
      </c>
      <c r="C264" s="25" t="s">
        <v>281</v>
      </c>
      <c r="D264" s="22" t="s">
        <v>298</v>
      </c>
      <c r="E264" s="15" t="s">
        <v>413</v>
      </c>
      <c r="F264" s="15" t="s">
        <v>465</v>
      </c>
      <c r="G264" s="15">
        <v>1</v>
      </c>
      <c r="H264" s="15" t="s">
        <v>440</v>
      </c>
      <c r="I264" s="28">
        <v>1680</v>
      </c>
    </row>
    <row r="265" spans="2:9">
      <c r="B265" s="25" t="s">
        <v>364</v>
      </c>
      <c r="C265" s="25" t="s">
        <v>281</v>
      </c>
      <c r="D265" s="22" t="s">
        <v>298</v>
      </c>
      <c r="E265" s="15" t="s">
        <v>413</v>
      </c>
      <c r="F265" s="15" t="s">
        <v>465</v>
      </c>
      <c r="G265" s="15">
        <v>1</v>
      </c>
      <c r="H265" s="15" t="s">
        <v>441</v>
      </c>
      <c r="I265" s="28">
        <v>1680</v>
      </c>
    </row>
    <row r="266" spans="2:9">
      <c r="B266" s="25" t="s">
        <v>364</v>
      </c>
      <c r="C266" s="25" t="s">
        <v>281</v>
      </c>
      <c r="D266" s="22" t="s">
        <v>298</v>
      </c>
      <c r="E266" s="15" t="s">
        <v>413</v>
      </c>
      <c r="F266" s="15" t="s">
        <v>465</v>
      </c>
      <c r="G266" s="15">
        <v>1</v>
      </c>
      <c r="H266" s="15" t="s">
        <v>442</v>
      </c>
      <c r="I266" s="28">
        <v>1680</v>
      </c>
    </row>
    <row r="267" spans="2:9">
      <c r="B267" s="25" t="s">
        <v>364</v>
      </c>
      <c r="C267" s="25" t="s">
        <v>281</v>
      </c>
      <c r="D267" s="22" t="s">
        <v>298</v>
      </c>
      <c r="E267" s="15" t="s">
        <v>413</v>
      </c>
      <c r="F267" s="15" t="s">
        <v>465</v>
      </c>
      <c r="G267" s="15">
        <v>1</v>
      </c>
      <c r="H267" s="15" t="s">
        <v>443</v>
      </c>
      <c r="I267" s="28">
        <v>1680</v>
      </c>
    </row>
    <row r="268" spans="2:9">
      <c r="B268" s="25" t="s">
        <v>364</v>
      </c>
      <c r="C268" s="25" t="s">
        <v>281</v>
      </c>
      <c r="D268" s="22" t="s">
        <v>298</v>
      </c>
      <c r="E268" s="15" t="s">
        <v>413</v>
      </c>
      <c r="F268" s="15" t="s">
        <v>465</v>
      </c>
      <c r="G268" s="15">
        <v>1</v>
      </c>
      <c r="H268" s="15" t="s">
        <v>444</v>
      </c>
      <c r="I268" s="28">
        <v>1680</v>
      </c>
    </row>
    <row r="269" spans="2:9">
      <c r="B269" s="25" t="s">
        <v>364</v>
      </c>
      <c r="C269" s="25" t="s">
        <v>281</v>
      </c>
      <c r="D269" s="22" t="s">
        <v>298</v>
      </c>
      <c r="E269" s="15" t="s">
        <v>413</v>
      </c>
      <c r="F269" s="15" t="s">
        <v>465</v>
      </c>
      <c r="G269" s="15">
        <v>1</v>
      </c>
      <c r="H269" s="15" t="s">
        <v>445</v>
      </c>
      <c r="I269" s="28">
        <v>1680</v>
      </c>
    </row>
    <row r="270" spans="2:9">
      <c r="B270" s="25" t="s">
        <v>364</v>
      </c>
      <c r="C270" s="25" t="s">
        <v>281</v>
      </c>
      <c r="D270" s="22" t="s">
        <v>298</v>
      </c>
      <c r="E270" s="15" t="s">
        <v>413</v>
      </c>
      <c r="F270" s="15" t="s">
        <v>465</v>
      </c>
      <c r="G270" s="15">
        <v>1</v>
      </c>
      <c r="H270" s="15" t="s">
        <v>446</v>
      </c>
      <c r="I270" s="28">
        <v>1680</v>
      </c>
    </row>
    <row r="271" spans="2:9">
      <c r="B271" s="25" t="s">
        <v>364</v>
      </c>
      <c r="C271" s="25" t="s">
        <v>281</v>
      </c>
      <c r="D271" s="22" t="s">
        <v>298</v>
      </c>
      <c r="E271" s="15" t="s">
        <v>413</v>
      </c>
      <c r="F271" s="15" t="s">
        <v>465</v>
      </c>
      <c r="G271" s="15">
        <v>1</v>
      </c>
      <c r="H271" s="15" t="s">
        <v>447</v>
      </c>
      <c r="I271" s="28">
        <v>1680</v>
      </c>
    </row>
    <row r="272" spans="2:9">
      <c r="B272" s="25" t="s">
        <v>364</v>
      </c>
      <c r="C272" s="25" t="s">
        <v>281</v>
      </c>
      <c r="D272" s="22" t="s">
        <v>298</v>
      </c>
      <c r="E272" s="15" t="s">
        <v>413</v>
      </c>
      <c r="F272" s="15" t="s">
        <v>465</v>
      </c>
      <c r="G272" s="15">
        <v>1</v>
      </c>
      <c r="H272" s="15" t="s">
        <v>448</v>
      </c>
      <c r="I272" s="28">
        <v>1680</v>
      </c>
    </row>
    <row r="273" spans="2:9">
      <c r="B273" s="25" t="s">
        <v>364</v>
      </c>
      <c r="C273" s="25" t="s">
        <v>281</v>
      </c>
      <c r="D273" s="22" t="s">
        <v>298</v>
      </c>
      <c r="E273" s="15" t="s">
        <v>413</v>
      </c>
      <c r="F273" s="15" t="s">
        <v>465</v>
      </c>
      <c r="G273" s="15">
        <v>1</v>
      </c>
      <c r="H273" s="15" t="s">
        <v>449</v>
      </c>
      <c r="I273" s="28">
        <v>1680</v>
      </c>
    </row>
    <row r="274" spans="2:9">
      <c r="B274" s="25" t="s">
        <v>364</v>
      </c>
      <c r="C274" s="25" t="s">
        <v>281</v>
      </c>
      <c r="D274" s="22" t="s">
        <v>298</v>
      </c>
      <c r="E274" s="15" t="s">
        <v>413</v>
      </c>
      <c r="F274" s="15" t="s">
        <v>465</v>
      </c>
      <c r="G274" s="15">
        <v>1</v>
      </c>
      <c r="H274" s="15" t="s">
        <v>450</v>
      </c>
      <c r="I274" s="28">
        <v>1680</v>
      </c>
    </row>
    <row r="275" spans="2:9">
      <c r="B275" s="25" t="s">
        <v>364</v>
      </c>
      <c r="C275" s="25" t="s">
        <v>281</v>
      </c>
      <c r="D275" s="22" t="s">
        <v>298</v>
      </c>
      <c r="E275" s="15" t="s">
        <v>413</v>
      </c>
      <c r="F275" s="15" t="s">
        <v>465</v>
      </c>
      <c r="G275" s="15">
        <v>1</v>
      </c>
      <c r="H275" s="15" t="s">
        <v>451</v>
      </c>
      <c r="I275" s="28">
        <v>1680</v>
      </c>
    </row>
    <row r="276" spans="2:9">
      <c r="B276" s="25" t="s">
        <v>364</v>
      </c>
      <c r="C276" s="25" t="s">
        <v>281</v>
      </c>
      <c r="D276" s="22" t="s">
        <v>298</v>
      </c>
      <c r="E276" s="15" t="s">
        <v>413</v>
      </c>
      <c r="F276" s="15" t="s">
        <v>465</v>
      </c>
      <c r="G276" s="15">
        <v>1</v>
      </c>
      <c r="H276" s="15" t="s">
        <v>452</v>
      </c>
      <c r="I276" s="28">
        <v>1680</v>
      </c>
    </row>
    <row r="277" spans="2:9">
      <c r="B277" s="25" t="s">
        <v>364</v>
      </c>
      <c r="C277" s="25" t="s">
        <v>281</v>
      </c>
      <c r="D277" s="22" t="s">
        <v>298</v>
      </c>
      <c r="E277" s="15" t="s">
        <v>413</v>
      </c>
      <c r="F277" s="15" t="s">
        <v>466</v>
      </c>
      <c r="G277" s="15">
        <v>1</v>
      </c>
      <c r="H277" s="15" t="s">
        <v>415</v>
      </c>
      <c r="I277" s="28">
        <v>1880</v>
      </c>
    </row>
    <row r="278" spans="2:9">
      <c r="B278" s="25" t="s">
        <v>364</v>
      </c>
      <c r="C278" s="25" t="s">
        <v>281</v>
      </c>
      <c r="D278" s="22" t="s">
        <v>298</v>
      </c>
      <c r="E278" s="15" t="s">
        <v>413</v>
      </c>
      <c r="F278" s="15" t="s">
        <v>466</v>
      </c>
      <c r="G278" s="15">
        <v>1</v>
      </c>
      <c r="H278" s="15" t="s">
        <v>416</v>
      </c>
      <c r="I278" s="28">
        <v>1880</v>
      </c>
    </row>
    <row r="279" spans="2:9">
      <c r="B279" s="25" t="s">
        <v>364</v>
      </c>
      <c r="C279" s="25" t="s">
        <v>281</v>
      </c>
      <c r="D279" s="22" t="s">
        <v>298</v>
      </c>
      <c r="E279" s="15" t="s">
        <v>413</v>
      </c>
      <c r="F279" s="15" t="s">
        <v>466</v>
      </c>
      <c r="G279" s="15">
        <v>1</v>
      </c>
      <c r="H279" s="15" t="s">
        <v>417</v>
      </c>
      <c r="I279" s="28">
        <v>1880</v>
      </c>
    </row>
    <row r="280" spans="2:9">
      <c r="B280" s="25" t="s">
        <v>364</v>
      </c>
      <c r="C280" s="25" t="s">
        <v>281</v>
      </c>
      <c r="D280" s="22" t="s">
        <v>298</v>
      </c>
      <c r="E280" s="15" t="s">
        <v>413</v>
      </c>
      <c r="F280" s="15" t="s">
        <v>466</v>
      </c>
      <c r="G280" s="15">
        <v>1</v>
      </c>
      <c r="H280" s="15" t="s">
        <v>418</v>
      </c>
      <c r="I280" s="28">
        <v>1880</v>
      </c>
    </row>
    <row r="281" spans="2:9">
      <c r="B281" s="25" t="s">
        <v>364</v>
      </c>
      <c r="C281" s="25" t="s">
        <v>281</v>
      </c>
      <c r="D281" s="22" t="s">
        <v>298</v>
      </c>
      <c r="E281" s="15" t="s">
        <v>413</v>
      </c>
      <c r="F281" s="15" t="s">
        <v>466</v>
      </c>
      <c r="G281" s="15">
        <v>1</v>
      </c>
      <c r="H281" s="15" t="s">
        <v>419</v>
      </c>
      <c r="I281" s="28">
        <v>1880</v>
      </c>
    </row>
    <row r="282" spans="2:9">
      <c r="B282" s="25" t="s">
        <v>364</v>
      </c>
      <c r="C282" s="25" t="s">
        <v>281</v>
      </c>
      <c r="D282" s="22" t="s">
        <v>298</v>
      </c>
      <c r="E282" s="15" t="s">
        <v>413</v>
      </c>
      <c r="F282" s="15" t="s">
        <v>466</v>
      </c>
      <c r="G282" s="15">
        <v>1</v>
      </c>
      <c r="H282" s="15" t="s">
        <v>420</v>
      </c>
      <c r="I282" s="28">
        <v>1880</v>
      </c>
    </row>
    <row r="283" spans="2:9">
      <c r="B283" s="25" t="s">
        <v>364</v>
      </c>
      <c r="C283" s="25" t="s">
        <v>281</v>
      </c>
      <c r="D283" s="22" t="s">
        <v>298</v>
      </c>
      <c r="E283" s="15" t="s">
        <v>413</v>
      </c>
      <c r="F283" s="15" t="s">
        <v>467</v>
      </c>
      <c r="G283" s="15">
        <v>1</v>
      </c>
      <c r="H283" s="15" t="s">
        <v>454</v>
      </c>
      <c r="I283" s="28">
        <v>2380</v>
      </c>
    </row>
    <row r="284" spans="2:9">
      <c r="B284" s="25" t="s">
        <v>364</v>
      </c>
      <c r="C284" s="25" t="s">
        <v>281</v>
      </c>
      <c r="D284" s="22" t="s">
        <v>298</v>
      </c>
      <c r="E284" s="15" t="s">
        <v>413</v>
      </c>
      <c r="F284" s="15" t="s">
        <v>467</v>
      </c>
      <c r="G284" s="15">
        <v>1</v>
      </c>
      <c r="H284" s="15" t="s">
        <v>455</v>
      </c>
      <c r="I284" s="28">
        <v>2380</v>
      </c>
    </row>
    <row r="285" spans="2:9">
      <c r="B285" s="25" t="s">
        <v>364</v>
      </c>
      <c r="C285" s="25" t="s">
        <v>281</v>
      </c>
      <c r="D285" s="22" t="s">
        <v>298</v>
      </c>
      <c r="E285" s="15" t="s">
        <v>413</v>
      </c>
      <c r="F285" s="15" t="s">
        <v>467</v>
      </c>
      <c r="G285" s="15">
        <v>1</v>
      </c>
      <c r="H285" s="15" t="s">
        <v>456</v>
      </c>
      <c r="I285" s="28">
        <v>2380</v>
      </c>
    </row>
    <row r="286" spans="2:9">
      <c r="B286" s="25" t="s">
        <v>364</v>
      </c>
      <c r="C286" s="25" t="s">
        <v>281</v>
      </c>
      <c r="D286" s="22" t="s">
        <v>298</v>
      </c>
      <c r="E286" s="15" t="s">
        <v>413</v>
      </c>
      <c r="F286" s="15" t="s">
        <v>467</v>
      </c>
      <c r="G286" s="15">
        <v>1</v>
      </c>
      <c r="H286" s="15" t="s">
        <v>457</v>
      </c>
      <c r="I286" s="28">
        <v>2380</v>
      </c>
    </row>
    <row r="287" spans="2:9">
      <c r="B287" s="25" t="s">
        <v>364</v>
      </c>
      <c r="C287" s="25" t="s">
        <v>281</v>
      </c>
      <c r="D287" s="22" t="s">
        <v>298</v>
      </c>
      <c r="E287" s="15" t="s">
        <v>413</v>
      </c>
      <c r="F287" s="15" t="s">
        <v>467</v>
      </c>
      <c r="G287" s="15">
        <v>1</v>
      </c>
      <c r="H287" s="15" t="s">
        <v>458</v>
      </c>
      <c r="I287" s="28">
        <v>2380</v>
      </c>
    </row>
    <row r="288" spans="2:9">
      <c r="B288" s="25" t="s">
        <v>364</v>
      </c>
      <c r="C288" s="25" t="s">
        <v>281</v>
      </c>
      <c r="D288" s="22" t="s">
        <v>298</v>
      </c>
      <c r="E288" s="15" t="s">
        <v>413</v>
      </c>
      <c r="F288" s="15" t="s">
        <v>467</v>
      </c>
      <c r="G288" s="15">
        <v>1</v>
      </c>
      <c r="H288" s="15" t="s">
        <v>452</v>
      </c>
      <c r="I288" s="28">
        <v>2380</v>
      </c>
    </row>
    <row r="289" spans="2:9">
      <c r="B289" s="25" t="s">
        <v>364</v>
      </c>
      <c r="C289" s="25" t="s">
        <v>281</v>
      </c>
      <c r="D289" s="22" t="s">
        <v>298</v>
      </c>
      <c r="E289" s="15" t="s">
        <v>413</v>
      </c>
      <c r="F289" s="15" t="s">
        <v>468</v>
      </c>
      <c r="G289" s="15">
        <v>1</v>
      </c>
      <c r="H289" s="15" t="s">
        <v>454</v>
      </c>
      <c r="I289" s="28">
        <v>2380</v>
      </c>
    </row>
    <row r="290" spans="2:9">
      <c r="B290" s="25" t="s">
        <v>364</v>
      </c>
      <c r="C290" s="25" t="s">
        <v>281</v>
      </c>
      <c r="D290" s="22" t="s">
        <v>298</v>
      </c>
      <c r="E290" s="15" t="s">
        <v>413</v>
      </c>
      <c r="F290" s="15" t="s">
        <v>468</v>
      </c>
      <c r="G290" s="15">
        <v>1</v>
      </c>
      <c r="H290" s="15" t="s">
        <v>455</v>
      </c>
      <c r="I290" s="28">
        <v>2380</v>
      </c>
    </row>
    <row r="291" spans="2:9">
      <c r="B291" s="25" t="s">
        <v>364</v>
      </c>
      <c r="C291" s="25" t="s">
        <v>281</v>
      </c>
      <c r="D291" s="22" t="s">
        <v>298</v>
      </c>
      <c r="E291" s="15" t="s">
        <v>413</v>
      </c>
      <c r="F291" s="15" t="s">
        <v>468</v>
      </c>
      <c r="G291" s="15">
        <v>1</v>
      </c>
      <c r="H291" s="15" t="s">
        <v>456</v>
      </c>
      <c r="I291" s="28">
        <v>2380</v>
      </c>
    </row>
    <row r="292" spans="2:9">
      <c r="B292" s="25" t="s">
        <v>364</v>
      </c>
      <c r="C292" s="25" t="s">
        <v>281</v>
      </c>
      <c r="D292" s="22" t="s">
        <v>298</v>
      </c>
      <c r="E292" s="15" t="s">
        <v>413</v>
      </c>
      <c r="F292" s="15" t="s">
        <v>468</v>
      </c>
      <c r="G292" s="15">
        <v>1</v>
      </c>
      <c r="H292" s="15" t="s">
        <v>457</v>
      </c>
      <c r="I292" s="28">
        <v>2380</v>
      </c>
    </row>
    <row r="293" spans="2:9">
      <c r="B293" s="25" t="s">
        <v>364</v>
      </c>
      <c r="C293" s="25" t="s">
        <v>281</v>
      </c>
      <c r="D293" s="22" t="s">
        <v>298</v>
      </c>
      <c r="E293" s="15" t="s">
        <v>413</v>
      </c>
      <c r="F293" s="15" t="s">
        <v>468</v>
      </c>
      <c r="G293" s="15">
        <v>1</v>
      </c>
      <c r="H293" s="15" t="s">
        <v>458</v>
      </c>
      <c r="I293" s="28">
        <v>2380</v>
      </c>
    </row>
    <row r="294" spans="2:9">
      <c r="B294" s="25" t="s">
        <v>364</v>
      </c>
      <c r="C294" s="25" t="s">
        <v>281</v>
      </c>
      <c r="D294" s="22" t="s">
        <v>298</v>
      </c>
      <c r="E294" s="15" t="s">
        <v>413</v>
      </c>
      <c r="F294" s="15" t="s">
        <v>468</v>
      </c>
      <c r="G294" s="15">
        <v>1</v>
      </c>
      <c r="H294" s="15" t="s">
        <v>452</v>
      </c>
      <c r="I294" s="28">
        <v>2380</v>
      </c>
    </row>
    <row r="295" spans="2:9">
      <c r="B295" s="25" t="s">
        <v>364</v>
      </c>
      <c r="C295" s="25" t="s">
        <v>281</v>
      </c>
      <c r="D295" s="22" t="s">
        <v>298</v>
      </c>
      <c r="E295" s="15" t="s">
        <v>413</v>
      </c>
      <c r="F295" s="15" t="s">
        <v>469</v>
      </c>
      <c r="G295" s="15">
        <v>1</v>
      </c>
      <c r="H295" s="15" t="s">
        <v>454</v>
      </c>
      <c r="I295" s="28">
        <v>2900</v>
      </c>
    </row>
    <row r="296" spans="2:9">
      <c r="B296" s="25" t="s">
        <v>364</v>
      </c>
      <c r="C296" s="25" t="s">
        <v>281</v>
      </c>
      <c r="D296" s="22" t="s">
        <v>298</v>
      </c>
      <c r="E296" s="15" t="s">
        <v>413</v>
      </c>
      <c r="F296" s="15" t="s">
        <v>469</v>
      </c>
      <c r="G296" s="15">
        <v>1</v>
      </c>
      <c r="H296" s="15" t="s">
        <v>455</v>
      </c>
      <c r="I296" s="28">
        <v>2900</v>
      </c>
    </row>
    <row r="297" spans="2:9">
      <c r="B297" s="25" t="s">
        <v>364</v>
      </c>
      <c r="C297" s="25" t="s">
        <v>281</v>
      </c>
      <c r="D297" s="22" t="s">
        <v>298</v>
      </c>
      <c r="E297" s="15" t="s">
        <v>413</v>
      </c>
      <c r="F297" s="15" t="s">
        <v>469</v>
      </c>
      <c r="G297" s="15">
        <v>1</v>
      </c>
      <c r="H297" s="15" t="s">
        <v>456</v>
      </c>
      <c r="I297" s="28">
        <v>2900</v>
      </c>
    </row>
    <row r="298" spans="2:9">
      <c r="B298" s="25" t="s">
        <v>364</v>
      </c>
      <c r="C298" s="25" t="s">
        <v>281</v>
      </c>
      <c r="D298" s="22" t="s">
        <v>298</v>
      </c>
      <c r="E298" s="15" t="s">
        <v>413</v>
      </c>
      <c r="F298" s="15" t="s">
        <v>469</v>
      </c>
      <c r="G298" s="15">
        <v>1</v>
      </c>
      <c r="H298" s="15" t="s">
        <v>457</v>
      </c>
      <c r="I298" s="28">
        <v>2900</v>
      </c>
    </row>
    <row r="299" spans="2:9">
      <c r="B299" s="25" t="s">
        <v>364</v>
      </c>
      <c r="C299" s="25" t="s">
        <v>281</v>
      </c>
      <c r="D299" s="22" t="s">
        <v>298</v>
      </c>
      <c r="E299" s="15" t="s">
        <v>413</v>
      </c>
      <c r="F299" s="15" t="s">
        <v>469</v>
      </c>
      <c r="G299" s="15">
        <v>1</v>
      </c>
      <c r="H299" s="15" t="s">
        <v>458</v>
      </c>
      <c r="I299" s="28">
        <v>2900</v>
      </c>
    </row>
    <row r="300" spans="2:9">
      <c r="B300" s="25" t="s">
        <v>364</v>
      </c>
      <c r="C300" s="25" t="s">
        <v>281</v>
      </c>
      <c r="D300" s="22" t="s">
        <v>298</v>
      </c>
      <c r="E300" s="15" t="s">
        <v>413</v>
      </c>
      <c r="F300" s="15" t="s">
        <v>469</v>
      </c>
      <c r="G300" s="15">
        <v>1</v>
      </c>
      <c r="H300" s="15" t="s">
        <v>452</v>
      </c>
      <c r="I300" s="28">
        <v>2900</v>
      </c>
    </row>
    <row r="301" spans="2:9">
      <c r="B301" s="25" t="s">
        <v>364</v>
      </c>
      <c r="C301" s="25" t="s">
        <v>281</v>
      </c>
      <c r="D301" s="22" t="s">
        <v>298</v>
      </c>
      <c r="E301" s="15" t="s">
        <v>413</v>
      </c>
      <c r="F301" s="15" t="s">
        <v>470</v>
      </c>
      <c r="G301" s="15">
        <v>1</v>
      </c>
      <c r="H301" s="15" t="s">
        <v>415</v>
      </c>
      <c r="I301" s="28">
        <v>2980</v>
      </c>
    </row>
    <row r="302" spans="2:9">
      <c r="B302" s="25" t="s">
        <v>364</v>
      </c>
      <c r="C302" s="25" t="s">
        <v>281</v>
      </c>
      <c r="D302" s="22" t="s">
        <v>298</v>
      </c>
      <c r="E302" s="15" t="s">
        <v>413</v>
      </c>
      <c r="F302" s="15" t="s">
        <v>470</v>
      </c>
      <c r="G302" s="15">
        <v>1</v>
      </c>
      <c r="H302" s="15" t="s">
        <v>416</v>
      </c>
      <c r="I302" s="28">
        <v>2980</v>
      </c>
    </row>
    <row r="303" spans="2:9">
      <c r="B303" s="25" t="s">
        <v>364</v>
      </c>
      <c r="C303" s="25" t="s">
        <v>281</v>
      </c>
      <c r="D303" s="22" t="s">
        <v>298</v>
      </c>
      <c r="E303" s="15" t="s">
        <v>413</v>
      </c>
      <c r="F303" s="15" t="s">
        <v>470</v>
      </c>
      <c r="G303" s="15">
        <v>1</v>
      </c>
      <c r="H303" s="15" t="s">
        <v>417</v>
      </c>
      <c r="I303" s="28">
        <v>2980</v>
      </c>
    </row>
    <row r="304" spans="2:9">
      <c r="B304" s="25" t="s">
        <v>364</v>
      </c>
      <c r="C304" s="25" t="s">
        <v>281</v>
      </c>
      <c r="D304" s="22" t="s">
        <v>298</v>
      </c>
      <c r="E304" s="15" t="s">
        <v>413</v>
      </c>
      <c r="F304" s="15" t="s">
        <v>470</v>
      </c>
      <c r="G304" s="15">
        <v>1</v>
      </c>
      <c r="H304" s="15" t="s">
        <v>418</v>
      </c>
      <c r="I304" s="28">
        <v>2980</v>
      </c>
    </row>
    <row r="305" spans="2:9">
      <c r="B305" s="25" t="s">
        <v>364</v>
      </c>
      <c r="C305" s="25" t="s">
        <v>281</v>
      </c>
      <c r="D305" s="22" t="s">
        <v>298</v>
      </c>
      <c r="E305" s="15" t="s">
        <v>413</v>
      </c>
      <c r="F305" s="15" t="s">
        <v>470</v>
      </c>
      <c r="G305" s="15">
        <v>1</v>
      </c>
      <c r="H305" s="15" t="s">
        <v>419</v>
      </c>
      <c r="I305" s="28">
        <v>2980</v>
      </c>
    </row>
    <row r="306" spans="2:9">
      <c r="B306" s="25" t="s">
        <v>364</v>
      </c>
      <c r="C306" s="25" t="s">
        <v>281</v>
      </c>
      <c r="D306" s="22" t="s">
        <v>298</v>
      </c>
      <c r="E306" s="15" t="s">
        <v>413</v>
      </c>
      <c r="F306" s="15" t="s">
        <v>470</v>
      </c>
      <c r="G306" s="15">
        <v>1</v>
      </c>
      <c r="H306" s="15" t="s">
        <v>420</v>
      </c>
      <c r="I306" s="28">
        <v>2980</v>
      </c>
    </row>
    <row r="307" spans="2:9">
      <c r="B307" s="25" t="s">
        <v>364</v>
      </c>
      <c r="C307" s="25" t="s">
        <v>281</v>
      </c>
      <c r="D307" s="22" t="s">
        <v>298</v>
      </c>
      <c r="E307" s="15" t="s">
        <v>413</v>
      </c>
      <c r="F307" s="15" t="s">
        <v>471</v>
      </c>
      <c r="G307" s="15">
        <v>1</v>
      </c>
      <c r="H307" s="15" t="s">
        <v>454</v>
      </c>
      <c r="I307" s="28">
        <v>2900</v>
      </c>
    </row>
    <row r="308" spans="2:9">
      <c r="B308" s="25" t="s">
        <v>364</v>
      </c>
      <c r="C308" s="25" t="s">
        <v>281</v>
      </c>
      <c r="D308" s="22" t="s">
        <v>298</v>
      </c>
      <c r="E308" s="15" t="s">
        <v>413</v>
      </c>
      <c r="F308" s="15" t="s">
        <v>471</v>
      </c>
      <c r="G308" s="15">
        <v>1</v>
      </c>
      <c r="H308" s="15" t="s">
        <v>455</v>
      </c>
      <c r="I308" s="28">
        <v>2900</v>
      </c>
    </row>
    <row r="309" spans="2:9">
      <c r="B309" s="25" t="s">
        <v>364</v>
      </c>
      <c r="C309" s="25" t="s">
        <v>281</v>
      </c>
      <c r="D309" s="22" t="s">
        <v>298</v>
      </c>
      <c r="E309" s="15" t="s">
        <v>413</v>
      </c>
      <c r="F309" s="15" t="s">
        <v>471</v>
      </c>
      <c r="G309" s="15">
        <v>1</v>
      </c>
      <c r="H309" s="15" t="s">
        <v>456</v>
      </c>
      <c r="I309" s="28">
        <v>2900</v>
      </c>
    </row>
    <row r="310" spans="2:9">
      <c r="B310" s="25" t="s">
        <v>364</v>
      </c>
      <c r="C310" s="25" t="s">
        <v>281</v>
      </c>
      <c r="D310" s="22" t="s">
        <v>298</v>
      </c>
      <c r="E310" s="15" t="s">
        <v>413</v>
      </c>
      <c r="F310" s="15" t="s">
        <v>471</v>
      </c>
      <c r="G310" s="15">
        <v>1</v>
      </c>
      <c r="H310" s="15" t="s">
        <v>457</v>
      </c>
      <c r="I310" s="28">
        <v>2900</v>
      </c>
    </row>
    <row r="311" spans="2:9">
      <c r="B311" s="25" t="s">
        <v>364</v>
      </c>
      <c r="C311" s="25" t="s">
        <v>281</v>
      </c>
      <c r="D311" s="22" t="s">
        <v>298</v>
      </c>
      <c r="E311" s="15" t="s">
        <v>413</v>
      </c>
      <c r="F311" s="15" t="s">
        <v>471</v>
      </c>
      <c r="G311" s="15">
        <v>1</v>
      </c>
      <c r="H311" s="15" t="s">
        <v>458</v>
      </c>
      <c r="I311" s="28">
        <v>2900</v>
      </c>
    </row>
    <row r="312" spans="2:9">
      <c r="B312" s="25" t="s">
        <v>364</v>
      </c>
      <c r="C312" s="25" t="s">
        <v>281</v>
      </c>
      <c r="D312" s="22" t="s">
        <v>298</v>
      </c>
      <c r="E312" s="15" t="s">
        <v>413</v>
      </c>
      <c r="F312" s="15" t="s">
        <v>471</v>
      </c>
      <c r="G312" s="15">
        <v>1</v>
      </c>
      <c r="H312" s="15" t="s">
        <v>452</v>
      </c>
      <c r="I312" s="28">
        <v>2900</v>
      </c>
    </row>
    <row r="313" spans="2:9">
      <c r="B313" s="25" t="s">
        <v>364</v>
      </c>
      <c r="C313" s="25" t="s">
        <v>281</v>
      </c>
      <c r="D313" s="22" t="s">
        <v>298</v>
      </c>
      <c r="E313" s="15" t="s">
        <v>413</v>
      </c>
      <c r="F313" s="15" t="s">
        <v>472</v>
      </c>
      <c r="G313" s="15">
        <v>1</v>
      </c>
      <c r="H313" s="15" t="s">
        <v>415</v>
      </c>
      <c r="I313" s="28">
        <v>3400</v>
      </c>
    </row>
    <row r="314" spans="2:9">
      <c r="B314" s="25" t="s">
        <v>364</v>
      </c>
      <c r="C314" s="25" t="s">
        <v>281</v>
      </c>
      <c r="D314" s="22" t="s">
        <v>298</v>
      </c>
      <c r="E314" s="15" t="s">
        <v>413</v>
      </c>
      <c r="F314" s="15" t="s">
        <v>472</v>
      </c>
      <c r="G314" s="15">
        <v>1</v>
      </c>
      <c r="H314" s="15" t="s">
        <v>416</v>
      </c>
      <c r="I314" s="28">
        <v>3400</v>
      </c>
    </row>
    <row r="315" spans="2:9">
      <c r="B315" s="25" t="s">
        <v>364</v>
      </c>
      <c r="C315" s="25" t="s">
        <v>281</v>
      </c>
      <c r="D315" s="22" t="s">
        <v>298</v>
      </c>
      <c r="E315" s="15" t="s">
        <v>413</v>
      </c>
      <c r="F315" s="15" t="s">
        <v>472</v>
      </c>
      <c r="G315" s="15">
        <v>1</v>
      </c>
      <c r="H315" s="15" t="s">
        <v>417</v>
      </c>
      <c r="I315" s="28">
        <v>3400</v>
      </c>
    </row>
    <row r="316" spans="2:9">
      <c r="B316" s="25" t="s">
        <v>364</v>
      </c>
      <c r="C316" s="25" t="s">
        <v>281</v>
      </c>
      <c r="D316" s="22" t="s">
        <v>298</v>
      </c>
      <c r="E316" s="15" t="s">
        <v>413</v>
      </c>
      <c r="F316" s="15" t="s">
        <v>472</v>
      </c>
      <c r="G316" s="15">
        <v>1</v>
      </c>
      <c r="H316" s="15" t="s">
        <v>418</v>
      </c>
      <c r="I316" s="28">
        <v>3400</v>
      </c>
    </row>
    <row r="317" spans="2:9">
      <c r="B317" s="25" t="s">
        <v>364</v>
      </c>
      <c r="C317" s="25" t="s">
        <v>281</v>
      </c>
      <c r="D317" s="22" t="s">
        <v>298</v>
      </c>
      <c r="E317" s="15" t="s">
        <v>413</v>
      </c>
      <c r="F317" s="15" t="s">
        <v>472</v>
      </c>
      <c r="G317" s="15">
        <v>1</v>
      </c>
      <c r="H317" s="15" t="s">
        <v>419</v>
      </c>
      <c r="I317" s="28">
        <v>3400</v>
      </c>
    </row>
    <row r="318" spans="2:9">
      <c r="B318" s="25" t="s">
        <v>364</v>
      </c>
      <c r="C318" s="25" t="s">
        <v>281</v>
      </c>
      <c r="D318" s="22" t="s">
        <v>298</v>
      </c>
      <c r="E318" s="15" t="s">
        <v>413</v>
      </c>
      <c r="F318" s="15" t="s">
        <v>472</v>
      </c>
      <c r="G318" s="15">
        <v>1</v>
      </c>
      <c r="H318" s="15" t="s">
        <v>420</v>
      </c>
      <c r="I318" s="28">
        <v>3400</v>
      </c>
    </row>
    <row r="319" spans="2:9">
      <c r="B319" s="9" t="s">
        <v>473</v>
      </c>
      <c r="C319" s="9" t="s">
        <v>401</v>
      </c>
      <c r="D319" s="29" t="s">
        <v>388</v>
      </c>
      <c r="E319" s="10" t="s">
        <v>135</v>
      </c>
      <c r="F319" s="10" t="s">
        <v>474</v>
      </c>
      <c r="G319" s="11">
        <v>1</v>
      </c>
      <c r="H319" s="12" t="s">
        <v>293</v>
      </c>
      <c r="I319" s="13">
        <v>3980</v>
      </c>
    </row>
    <row r="320" spans="2:9">
      <c r="B320" s="9" t="s">
        <v>473</v>
      </c>
      <c r="C320" s="9" t="s">
        <v>401</v>
      </c>
      <c r="D320" s="29" t="s">
        <v>388</v>
      </c>
      <c r="E320" s="10" t="s">
        <v>135</v>
      </c>
      <c r="F320" s="10" t="s">
        <v>474</v>
      </c>
      <c r="G320" s="11">
        <v>1</v>
      </c>
      <c r="H320" s="10" t="s">
        <v>294</v>
      </c>
      <c r="I320" s="14">
        <v>2980</v>
      </c>
    </row>
    <row r="321" spans="2:9">
      <c r="B321" s="9" t="s">
        <v>473</v>
      </c>
      <c r="C321" s="9" t="s">
        <v>401</v>
      </c>
      <c r="D321" s="29" t="s">
        <v>388</v>
      </c>
      <c r="E321" s="10" t="s">
        <v>135</v>
      </c>
      <c r="F321" s="10" t="s">
        <v>475</v>
      </c>
      <c r="G321" s="11">
        <v>1</v>
      </c>
      <c r="H321" s="12" t="s">
        <v>293</v>
      </c>
      <c r="I321" s="13">
        <v>7980</v>
      </c>
    </row>
    <row r="322" spans="2:9">
      <c r="B322" s="9" t="s">
        <v>473</v>
      </c>
      <c r="C322" s="9" t="s">
        <v>401</v>
      </c>
      <c r="D322" s="29" t="s">
        <v>388</v>
      </c>
      <c r="E322" s="10" t="s">
        <v>135</v>
      </c>
      <c r="F322" s="10" t="s">
        <v>475</v>
      </c>
      <c r="G322" s="11">
        <v>1</v>
      </c>
      <c r="H322" s="10" t="s">
        <v>294</v>
      </c>
      <c r="I322" s="14">
        <v>5980</v>
      </c>
    </row>
    <row r="323" spans="2:9">
      <c r="B323" s="9" t="s">
        <v>473</v>
      </c>
      <c r="C323" s="9" t="s">
        <v>401</v>
      </c>
      <c r="D323" s="29" t="s">
        <v>388</v>
      </c>
      <c r="E323" s="10" t="s">
        <v>135</v>
      </c>
      <c r="F323" s="10" t="s">
        <v>476</v>
      </c>
      <c r="G323" s="11">
        <v>1</v>
      </c>
      <c r="H323" s="12" t="s">
        <v>293</v>
      </c>
      <c r="I323" s="13">
        <v>10800</v>
      </c>
    </row>
    <row r="324" spans="2:9">
      <c r="B324" s="9" t="s">
        <v>473</v>
      </c>
      <c r="C324" s="9" t="s">
        <v>401</v>
      </c>
      <c r="D324" s="29" t="s">
        <v>388</v>
      </c>
      <c r="E324" s="10" t="s">
        <v>135</v>
      </c>
      <c r="F324" s="10" t="s">
        <v>476</v>
      </c>
      <c r="G324" s="11">
        <v>1</v>
      </c>
      <c r="H324" s="10" t="s">
        <v>294</v>
      </c>
      <c r="I324" s="14">
        <v>8800</v>
      </c>
    </row>
    <row r="325" spans="2:9">
      <c r="B325" s="9" t="s">
        <v>473</v>
      </c>
      <c r="C325" s="9" t="s">
        <v>401</v>
      </c>
      <c r="D325" s="29" t="s">
        <v>388</v>
      </c>
      <c r="E325" s="10" t="s">
        <v>135</v>
      </c>
      <c r="F325" s="10" t="s">
        <v>477</v>
      </c>
      <c r="G325" s="11">
        <v>1</v>
      </c>
      <c r="H325" s="12" t="s">
        <v>293</v>
      </c>
      <c r="I325" s="13">
        <v>3980</v>
      </c>
    </row>
    <row r="326" spans="2:9">
      <c r="B326" s="9" t="s">
        <v>473</v>
      </c>
      <c r="C326" s="9" t="s">
        <v>401</v>
      </c>
      <c r="D326" s="29" t="s">
        <v>388</v>
      </c>
      <c r="E326" s="10" t="s">
        <v>135</v>
      </c>
      <c r="F326" s="10" t="s">
        <v>477</v>
      </c>
      <c r="G326" s="11">
        <v>1</v>
      </c>
      <c r="H326" s="10" t="s">
        <v>294</v>
      </c>
      <c r="I326" s="14">
        <v>2980</v>
      </c>
    </row>
    <row r="327" spans="2:9">
      <c r="B327" s="9" t="s">
        <v>473</v>
      </c>
      <c r="C327" s="9" t="s">
        <v>401</v>
      </c>
      <c r="D327" s="29" t="s">
        <v>388</v>
      </c>
      <c r="E327" s="10" t="s">
        <v>135</v>
      </c>
      <c r="F327" s="10" t="s">
        <v>478</v>
      </c>
      <c r="G327" s="11">
        <v>1</v>
      </c>
      <c r="H327" s="12" t="s">
        <v>293</v>
      </c>
      <c r="I327" s="13">
        <v>7980</v>
      </c>
    </row>
    <row r="328" spans="2:9">
      <c r="B328" s="9" t="s">
        <v>473</v>
      </c>
      <c r="C328" s="9" t="s">
        <v>401</v>
      </c>
      <c r="D328" s="29" t="s">
        <v>388</v>
      </c>
      <c r="E328" s="10" t="s">
        <v>135</v>
      </c>
      <c r="F328" s="10" t="s">
        <v>478</v>
      </c>
      <c r="G328" s="11">
        <v>1</v>
      </c>
      <c r="H328" s="10" t="s">
        <v>294</v>
      </c>
      <c r="I328" s="14">
        <v>5980</v>
      </c>
    </row>
    <row r="329" spans="2:9">
      <c r="B329" s="9" t="s">
        <v>473</v>
      </c>
      <c r="C329" s="9" t="s">
        <v>401</v>
      </c>
      <c r="D329" s="29" t="s">
        <v>388</v>
      </c>
      <c r="E329" s="10" t="s">
        <v>135</v>
      </c>
      <c r="F329" s="10" t="s">
        <v>479</v>
      </c>
      <c r="G329" s="11">
        <v>1</v>
      </c>
      <c r="H329" s="12" t="s">
        <v>293</v>
      </c>
      <c r="I329" s="13">
        <v>5980</v>
      </c>
    </row>
    <row r="330" spans="2:9">
      <c r="B330" s="9" t="s">
        <v>473</v>
      </c>
      <c r="C330" s="9" t="s">
        <v>401</v>
      </c>
      <c r="D330" s="29" t="s">
        <v>388</v>
      </c>
      <c r="E330" s="10" t="s">
        <v>135</v>
      </c>
      <c r="F330" s="10" t="s">
        <v>479</v>
      </c>
      <c r="G330" s="11">
        <v>1</v>
      </c>
      <c r="H330" s="10" t="s">
        <v>294</v>
      </c>
      <c r="I330" s="14">
        <v>3980</v>
      </c>
    </row>
    <row r="331" spans="2:9">
      <c r="B331" s="9" t="s">
        <v>473</v>
      </c>
      <c r="C331" s="9" t="s">
        <v>401</v>
      </c>
      <c r="D331" s="29" t="s">
        <v>388</v>
      </c>
      <c r="E331" s="10" t="s">
        <v>135</v>
      </c>
      <c r="F331" s="10" t="s">
        <v>480</v>
      </c>
      <c r="G331" s="11">
        <v>1</v>
      </c>
      <c r="H331" s="12" t="s">
        <v>293</v>
      </c>
      <c r="I331" s="13">
        <v>7980</v>
      </c>
    </row>
    <row r="332" spans="2:9">
      <c r="B332" s="9" t="s">
        <v>473</v>
      </c>
      <c r="C332" s="9" t="s">
        <v>401</v>
      </c>
      <c r="D332" s="29" t="s">
        <v>388</v>
      </c>
      <c r="E332" s="10" t="s">
        <v>135</v>
      </c>
      <c r="F332" s="10" t="s">
        <v>480</v>
      </c>
      <c r="G332" s="11">
        <v>1</v>
      </c>
      <c r="H332" s="10" t="s">
        <v>294</v>
      </c>
      <c r="I332" s="14">
        <v>5980</v>
      </c>
    </row>
    <row r="333" spans="2:9">
      <c r="B333" s="9" t="s">
        <v>473</v>
      </c>
      <c r="C333" s="9" t="s">
        <v>401</v>
      </c>
      <c r="D333" s="29" t="s">
        <v>388</v>
      </c>
      <c r="E333" s="10" t="s">
        <v>135</v>
      </c>
      <c r="F333" s="10" t="s">
        <v>481</v>
      </c>
      <c r="G333" s="11">
        <v>1</v>
      </c>
      <c r="H333" s="12" t="s">
        <v>293</v>
      </c>
      <c r="I333" s="13">
        <v>10800</v>
      </c>
    </row>
    <row r="334" spans="2:9">
      <c r="B334" s="9" t="s">
        <v>473</v>
      </c>
      <c r="C334" s="9" t="s">
        <v>401</v>
      </c>
      <c r="D334" s="29" t="s">
        <v>388</v>
      </c>
      <c r="E334" s="10" t="s">
        <v>135</v>
      </c>
      <c r="F334" s="10" t="s">
        <v>481</v>
      </c>
      <c r="G334" s="11">
        <v>1</v>
      </c>
      <c r="H334" s="10" t="s">
        <v>294</v>
      </c>
      <c r="I334" s="14">
        <v>8800</v>
      </c>
    </row>
    <row r="335" spans="2:9">
      <c r="B335" s="9" t="s">
        <v>473</v>
      </c>
      <c r="C335" s="9" t="s">
        <v>401</v>
      </c>
      <c r="D335" s="29" t="s">
        <v>388</v>
      </c>
      <c r="E335" s="10" t="s">
        <v>135</v>
      </c>
      <c r="F335" s="10" t="s">
        <v>482</v>
      </c>
      <c r="G335" s="11">
        <v>1</v>
      </c>
      <c r="H335" s="12" t="s">
        <v>293</v>
      </c>
      <c r="I335" s="13">
        <v>15800</v>
      </c>
    </row>
    <row r="336" spans="2:9">
      <c r="B336" s="9" t="s">
        <v>473</v>
      </c>
      <c r="C336" s="9" t="s">
        <v>401</v>
      </c>
      <c r="D336" s="29" t="s">
        <v>388</v>
      </c>
      <c r="E336" s="10" t="s">
        <v>135</v>
      </c>
      <c r="F336" s="10" t="s">
        <v>482</v>
      </c>
      <c r="G336" s="11">
        <v>1</v>
      </c>
      <c r="H336" s="10" t="s">
        <v>294</v>
      </c>
      <c r="I336" s="14">
        <v>12800</v>
      </c>
    </row>
    <row r="337" spans="2:9">
      <c r="B337" s="9" t="s">
        <v>473</v>
      </c>
      <c r="C337" s="9" t="s">
        <v>401</v>
      </c>
      <c r="D337" s="29" t="s">
        <v>388</v>
      </c>
      <c r="E337" s="10" t="s">
        <v>135</v>
      </c>
      <c r="F337" s="10" t="s">
        <v>483</v>
      </c>
      <c r="G337" s="11">
        <v>1</v>
      </c>
      <c r="H337" s="12" t="s">
        <v>293</v>
      </c>
      <c r="I337" s="13">
        <v>8800</v>
      </c>
    </row>
    <row r="338" spans="2:9">
      <c r="B338" s="9" t="s">
        <v>473</v>
      </c>
      <c r="C338" s="9" t="s">
        <v>401</v>
      </c>
      <c r="D338" s="29" t="s">
        <v>388</v>
      </c>
      <c r="E338" s="10" t="s">
        <v>135</v>
      </c>
      <c r="F338" s="10" t="s">
        <v>483</v>
      </c>
      <c r="G338" s="11">
        <v>1</v>
      </c>
      <c r="H338" s="10" t="s">
        <v>294</v>
      </c>
      <c r="I338" s="14">
        <v>6800</v>
      </c>
    </row>
    <row r="339" spans="2:9">
      <c r="B339" s="9" t="s">
        <v>473</v>
      </c>
      <c r="C339" s="9" t="s">
        <v>401</v>
      </c>
      <c r="D339" s="29" t="s">
        <v>388</v>
      </c>
      <c r="E339" s="10" t="s">
        <v>135</v>
      </c>
      <c r="F339" s="10" t="s">
        <v>484</v>
      </c>
      <c r="G339" s="11">
        <v>1</v>
      </c>
      <c r="H339" s="12" t="s">
        <v>293</v>
      </c>
      <c r="I339" s="13">
        <v>15800</v>
      </c>
    </row>
    <row r="340" spans="2:9">
      <c r="B340" s="9" t="s">
        <v>473</v>
      </c>
      <c r="C340" s="9" t="s">
        <v>401</v>
      </c>
      <c r="D340" s="29" t="s">
        <v>388</v>
      </c>
      <c r="E340" s="10" t="s">
        <v>135</v>
      </c>
      <c r="F340" s="10" t="s">
        <v>484</v>
      </c>
      <c r="G340" s="11">
        <v>1</v>
      </c>
      <c r="H340" s="10" t="s">
        <v>294</v>
      </c>
      <c r="I340" s="14">
        <v>12800</v>
      </c>
    </row>
    <row r="341" spans="2:9">
      <c r="B341" s="9" t="s">
        <v>473</v>
      </c>
      <c r="C341" s="9" t="s">
        <v>401</v>
      </c>
      <c r="D341" s="29" t="s">
        <v>388</v>
      </c>
      <c r="E341" s="10" t="s">
        <v>135</v>
      </c>
      <c r="F341" s="10" t="s">
        <v>485</v>
      </c>
      <c r="G341" s="11">
        <v>1</v>
      </c>
      <c r="H341" s="12" t="s">
        <v>293</v>
      </c>
      <c r="I341" s="13">
        <v>10800</v>
      </c>
    </row>
    <row r="342" spans="2:9">
      <c r="B342" s="9" t="s">
        <v>473</v>
      </c>
      <c r="C342" s="9" t="s">
        <v>401</v>
      </c>
      <c r="D342" s="29" t="s">
        <v>388</v>
      </c>
      <c r="E342" s="10" t="s">
        <v>135</v>
      </c>
      <c r="F342" s="10" t="s">
        <v>485</v>
      </c>
      <c r="G342" s="11">
        <v>1</v>
      </c>
      <c r="H342" s="10" t="s">
        <v>294</v>
      </c>
      <c r="I342" s="14">
        <v>8800</v>
      </c>
    </row>
    <row r="343" spans="2:9">
      <c r="B343" s="9" t="s">
        <v>473</v>
      </c>
      <c r="C343" s="9" t="s">
        <v>401</v>
      </c>
      <c r="D343" s="29" t="s">
        <v>388</v>
      </c>
      <c r="E343" s="10" t="s">
        <v>135</v>
      </c>
      <c r="F343" s="10" t="s">
        <v>486</v>
      </c>
      <c r="G343" s="11">
        <v>1</v>
      </c>
      <c r="H343" s="12" t="s">
        <v>293</v>
      </c>
      <c r="I343" s="13">
        <v>15800</v>
      </c>
    </row>
    <row r="344" spans="2:9">
      <c r="B344" s="9" t="s">
        <v>473</v>
      </c>
      <c r="C344" s="9" t="s">
        <v>401</v>
      </c>
      <c r="D344" s="29" t="s">
        <v>388</v>
      </c>
      <c r="E344" s="10" t="s">
        <v>135</v>
      </c>
      <c r="F344" s="10" t="s">
        <v>486</v>
      </c>
      <c r="G344" s="11">
        <v>1</v>
      </c>
      <c r="H344" s="10" t="s">
        <v>294</v>
      </c>
      <c r="I344" s="14">
        <v>12800</v>
      </c>
    </row>
    <row r="345" spans="2:9">
      <c r="B345" s="9" t="s">
        <v>473</v>
      </c>
      <c r="C345" s="9" t="s">
        <v>401</v>
      </c>
      <c r="D345" s="29" t="s">
        <v>388</v>
      </c>
      <c r="E345" s="10" t="s">
        <v>135</v>
      </c>
      <c r="F345" s="10" t="s">
        <v>487</v>
      </c>
      <c r="G345" s="11">
        <v>1</v>
      </c>
      <c r="H345" s="12" t="s">
        <v>293</v>
      </c>
      <c r="I345" s="13">
        <v>8800</v>
      </c>
    </row>
    <row r="346" spans="2:9">
      <c r="B346" s="9" t="s">
        <v>473</v>
      </c>
      <c r="C346" s="9" t="s">
        <v>401</v>
      </c>
      <c r="D346" s="29" t="s">
        <v>388</v>
      </c>
      <c r="E346" s="10" t="s">
        <v>135</v>
      </c>
      <c r="F346" s="10" t="s">
        <v>487</v>
      </c>
      <c r="G346" s="11">
        <v>1</v>
      </c>
      <c r="H346" s="10" t="s">
        <v>294</v>
      </c>
      <c r="I346" s="14">
        <v>6800</v>
      </c>
    </row>
    <row r="347" spans="2:9">
      <c r="B347" s="9" t="s">
        <v>473</v>
      </c>
      <c r="C347" s="9" t="s">
        <v>401</v>
      </c>
      <c r="D347" s="29" t="s">
        <v>388</v>
      </c>
      <c r="E347" s="10" t="s">
        <v>135</v>
      </c>
      <c r="F347" s="10" t="s">
        <v>488</v>
      </c>
      <c r="G347" s="11">
        <v>1</v>
      </c>
      <c r="H347" s="12" t="s">
        <v>293</v>
      </c>
      <c r="I347" s="13">
        <v>10800</v>
      </c>
    </row>
    <row r="348" spans="2:9">
      <c r="B348" s="9" t="s">
        <v>473</v>
      </c>
      <c r="C348" s="9" t="s">
        <v>401</v>
      </c>
      <c r="D348" s="29" t="s">
        <v>388</v>
      </c>
      <c r="E348" s="10" t="s">
        <v>135</v>
      </c>
      <c r="F348" s="10" t="s">
        <v>488</v>
      </c>
      <c r="G348" s="11">
        <v>1</v>
      </c>
      <c r="H348" s="10" t="s">
        <v>294</v>
      </c>
      <c r="I348" s="14">
        <v>8800</v>
      </c>
    </row>
    <row r="349" spans="2:9">
      <c r="B349" s="9" t="s">
        <v>473</v>
      </c>
      <c r="C349" s="9" t="s">
        <v>401</v>
      </c>
      <c r="D349" s="29" t="s">
        <v>388</v>
      </c>
      <c r="E349" s="10" t="s">
        <v>135</v>
      </c>
      <c r="F349" s="10" t="s">
        <v>489</v>
      </c>
      <c r="G349" s="11">
        <v>1</v>
      </c>
      <c r="H349" s="12" t="s">
        <v>293</v>
      </c>
      <c r="I349" s="13">
        <v>6800</v>
      </c>
    </row>
    <row r="350" spans="2:9">
      <c r="B350" s="9" t="s">
        <v>473</v>
      </c>
      <c r="C350" s="9" t="s">
        <v>401</v>
      </c>
      <c r="D350" s="29" t="s">
        <v>388</v>
      </c>
      <c r="E350" s="10" t="s">
        <v>135</v>
      </c>
      <c r="F350" s="10" t="s">
        <v>489</v>
      </c>
      <c r="G350" s="11">
        <v>1</v>
      </c>
      <c r="H350" s="10" t="s">
        <v>294</v>
      </c>
      <c r="I350" s="14">
        <v>5880</v>
      </c>
    </row>
    <row r="351" spans="2:9">
      <c r="B351" s="9" t="s">
        <v>473</v>
      </c>
      <c r="C351" s="9" t="s">
        <v>401</v>
      </c>
      <c r="D351" s="29" t="s">
        <v>388</v>
      </c>
      <c r="E351" s="10" t="s">
        <v>135</v>
      </c>
      <c r="F351" s="10" t="s">
        <v>490</v>
      </c>
      <c r="G351" s="11">
        <v>1</v>
      </c>
      <c r="H351" s="10" t="s">
        <v>294</v>
      </c>
      <c r="I351" s="14">
        <v>8880</v>
      </c>
    </row>
    <row r="352" spans="2:9">
      <c r="B352" s="9" t="s">
        <v>473</v>
      </c>
      <c r="C352" s="9" t="s">
        <v>401</v>
      </c>
      <c r="D352" s="29" t="s">
        <v>388</v>
      </c>
      <c r="E352" s="10" t="s">
        <v>135</v>
      </c>
      <c r="F352" s="10" t="s">
        <v>491</v>
      </c>
      <c r="G352" s="11">
        <v>1</v>
      </c>
      <c r="H352" s="10" t="s">
        <v>294</v>
      </c>
      <c r="I352" s="14">
        <v>11880</v>
      </c>
    </row>
    <row r="353" spans="2:9">
      <c r="B353" s="9" t="s">
        <v>473</v>
      </c>
      <c r="C353" s="9" t="s">
        <v>401</v>
      </c>
      <c r="D353" s="29" t="s">
        <v>388</v>
      </c>
      <c r="E353" s="10" t="s">
        <v>135</v>
      </c>
      <c r="F353" s="10" t="s">
        <v>492</v>
      </c>
      <c r="G353" s="11">
        <v>1</v>
      </c>
      <c r="H353" s="10" t="s">
        <v>294</v>
      </c>
      <c r="I353" s="14">
        <v>19800</v>
      </c>
    </row>
    <row r="354" spans="2:9">
      <c r="B354" s="9" t="s">
        <v>473</v>
      </c>
      <c r="C354" s="9" t="s">
        <v>401</v>
      </c>
      <c r="D354" s="29" t="s">
        <v>388</v>
      </c>
      <c r="E354" s="10" t="s">
        <v>135</v>
      </c>
      <c r="F354" s="10" t="s">
        <v>493</v>
      </c>
      <c r="G354" s="11">
        <v>1</v>
      </c>
      <c r="H354" s="12" t="s">
        <v>293</v>
      </c>
      <c r="I354" s="13">
        <v>10800</v>
      </c>
    </row>
    <row r="355" spans="2:9">
      <c r="B355" s="9" t="s">
        <v>473</v>
      </c>
      <c r="C355" s="9" t="s">
        <v>401</v>
      </c>
      <c r="D355" s="29" t="s">
        <v>388</v>
      </c>
      <c r="E355" s="10" t="s">
        <v>135</v>
      </c>
      <c r="F355" s="10" t="s">
        <v>493</v>
      </c>
      <c r="G355" s="11">
        <v>1</v>
      </c>
      <c r="H355" s="10" t="s">
        <v>294</v>
      </c>
      <c r="I355" s="14">
        <v>8800</v>
      </c>
    </row>
    <row r="356" spans="2:9">
      <c r="B356" s="9" t="s">
        <v>473</v>
      </c>
      <c r="C356" s="9" t="s">
        <v>401</v>
      </c>
      <c r="D356" s="29" t="s">
        <v>388</v>
      </c>
      <c r="E356" s="10" t="s">
        <v>135</v>
      </c>
      <c r="F356" s="10" t="s">
        <v>494</v>
      </c>
      <c r="G356" s="11">
        <v>1</v>
      </c>
      <c r="H356" s="12" t="s">
        <v>293</v>
      </c>
      <c r="I356" s="13">
        <v>39800</v>
      </c>
    </row>
    <row r="357" spans="2:9">
      <c r="B357" s="9" t="s">
        <v>473</v>
      </c>
      <c r="C357" s="9" t="s">
        <v>401</v>
      </c>
      <c r="D357" s="29" t="s">
        <v>388</v>
      </c>
      <c r="E357" s="10" t="s">
        <v>135</v>
      </c>
      <c r="F357" s="10" t="s">
        <v>494</v>
      </c>
      <c r="G357" s="11">
        <v>1</v>
      </c>
      <c r="H357" s="10" t="s">
        <v>294</v>
      </c>
      <c r="I357" s="14">
        <v>29800</v>
      </c>
    </row>
    <row r="358" spans="2:9">
      <c r="B358" s="9" t="s">
        <v>473</v>
      </c>
      <c r="C358" s="9" t="s">
        <v>401</v>
      </c>
      <c r="D358" s="29" t="s">
        <v>388</v>
      </c>
      <c r="E358" s="10" t="s">
        <v>135</v>
      </c>
      <c r="F358" s="10" t="s">
        <v>495</v>
      </c>
      <c r="G358" s="11">
        <v>1</v>
      </c>
      <c r="H358" s="12" t="s">
        <v>293</v>
      </c>
      <c r="I358" s="13">
        <v>49800</v>
      </c>
    </row>
    <row r="359" spans="2:9">
      <c r="B359" s="9" t="s">
        <v>473</v>
      </c>
      <c r="C359" s="9" t="s">
        <v>401</v>
      </c>
      <c r="D359" s="29" t="s">
        <v>388</v>
      </c>
      <c r="E359" s="10" t="s">
        <v>135</v>
      </c>
      <c r="F359" s="10" t="s">
        <v>495</v>
      </c>
      <c r="G359" s="11">
        <v>1</v>
      </c>
      <c r="H359" s="10" t="s">
        <v>294</v>
      </c>
      <c r="I359" s="14">
        <v>39800</v>
      </c>
    </row>
    <row r="360" spans="2:9">
      <c r="B360" s="9" t="s">
        <v>473</v>
      </c>
      <c r="C360" s="9" t="s">
        <v>401</v>
      </c>
      <c r="D360" s="29" t="s">
        <v>388</v>
      </c>
      <c r="E360" s="10" t="s">
        <v>135</v>
      </c>
      <c r="F360" s="10" t="s">
        <v>496</v>
      </c>
      <c r="G360" s="11">
        <v>1</v>
      </c>
      <c r="H360" s="12" t="s">
        <v>293</v>
      </c>
      <c r="I360" s="13">
        <v>180</v>
      </c>
    </row>
    <row r="361" spans="2:9">
      <c r="B361" s="9" t="s">
        <v>473</v>
      </c>
      <c r="C361" s="9" t="s">
        <v>401</v>
      </c>
      <c r="D361" s="29" t="s">
        <v>388</v>
      </c>
      <c r="E361" s="10" t="s">
        <v>135</v>
      </c>
      <c r="F361" s="10" t="s">
        <v>496</v>
      </c>
      <c r="G361" s="11">
        <v>1</v>
      </c>
      <c r="H361" s="10" t="s">
        <v>294</v>
      </c>
      <c r="I361" s="14">
        <v>50</v>
      </c>
    </row>
    <row r="362" spans="2:9">
      <c r="B362" s="9" t="s">
        <v>473</v>
      </c>
      <c r="C362" s="9" t="s">
        <v>401</v>
      </c>
      <c r="D362" s="29" t="s">
        <v>388</v>
      </c>
      <c r="E362" s="10" t="s">
        <v>135</v>
      </c>
      <c r="F362" s="10" t="s">
        <v>497</v>
      </c>
      <c r="G362" s="11">
        <v>1</v>
      </c>
      <c r="H362" s="12" t="s">
        <v>293</v>
      </c>
      <c r="I362" s="13">
        <v>280</v>
      </c>
    </row>
    <row r="363" spans="2:9">
      <c r="B363" s="9" t="s">
        <v>473</v>
      </c>
      <c r="C363" s="9" t="s">
        <v>401</v>
      </c>
      <c r="D363" s="29" t="s">
        <v>388</v>
      </c>
      <c r="E363" s="10" t="s">
        <v>135</v>
      </c>
      <c r="F363" s="10" t="s">
        <v>497</v>
      </c>
      <c r="G363" s="11">
        <v>1</v>
      </c>
      <c r="H363" s="10" t="s">
        <v>294</v>
      </c>
      <c r="I363" s="14">
        <v>100</v>
      </c>
    </row>
    <row r="364" spans="2:9">
      <c r="B364" s="9" t="s">
        <v>473</v>
      </c>
      <c r="C364" s="9" t="s">
        <v>401</v>
      </c>
      <c r="D364" s="29" t="s">
        <v>388</v>
      </c>
      <c r="E364" s="10" t="s">
        <v>135</v>
      </c>
      <c r="F364" s="10" t="s">
        <v>498</v>
      </c>
      <c r="G364" s="11">
        <v>1</v>
      </c>
      <c r="H364" s="12" t="s">
        <v>293</v>
      </c>
      <c r="I364" s="13">
        <v>880</v>
      </c>
    </row>
    <row r="365" spans="2:9">
      <c r="B365" s="9" t="s">
        <v>473</v>
      </c>
      <c r="C365" s="9" t="s">
        <v>401</v>
      </c>
      <c r="D365" s="29" t="s">
        <v>388</v>
      </c>
      <c r="E365" s="10" t="s">
        <v>135</v>
      </c>
      <c r="F365" s="10" t="s">
        <v>498</v>
      </c>
      <c r="G365" s="11">
        <v>1</v>
      </c>
      <c r="H365" s="10" t="s">
        <v>294</v>
      </c>
      <c r="I365" s="14">
        <v>500</v>
      </c>
    </row>
    <row r="366" spans="2:9">
      <c r="B366" s="9" t="s">
        <v>473</v>
      </c>
      <c r="C366" s="9" t="s">
        <v>401</v>
      </c>
      <c r="D366" s="29" t="s">
        <v>388</v>
      </c>
      <c r="E366" s="10" t="s">
        <v>135</v>
      </c>
      <c r="F366" s="10" t="s">
        <v>499</v>
      </c>
      <c r="G366" s="11">
        <v>1</v>
      </c>
      <c r="H366" s="12" t="s">
        <v>293</v>
      </c>
      <c r="I366" s="13">
        <v>1280</v>
      </c>
    </row>
    <row r="367" spans="2:9">
      <c r="B367" s="9" t="s">
        <v>473</v>
      </c>
      <c r="C367" s="9" t="s">
        <v>401</v>
      </c>
      <c r="D367" s="29" t="s">
        <v>388</v>
      </c>
      <c r="E367" s="10" t="s">
        <v>135</v>
      </c>
      <c r="F367" s="10" t="s">
        <v>499</v>
      </c>
      <c r="G367" s="11">
        <v>1</v>
      </c>
      <c r="H367" s="10" t="s">
        <v>294</v>
      </c>
      <c r="I367" s="14">
        <v>1000</v>
      </c>
    </row>
    <row r="368" spans="2:9">
      <c r="B368" s="9" t="s">
        <v>473</v>
      </c>
      <c r="C368" s="9" t="s">
        <v>401</v>
      </c>
      <c r="D368" s="30" t="s">
        <v>388</v>
      </c>
      <c r="E368" s="10" t="s">
        <v>136</v>
      </c>
      <c r="F368" s="10" t="s">
        <v>500</v>
      </c>
      <c r="G368" s="11">
        <v>1</v>
      </c>
      <c r="H368" s="12" t="s">
        <v>293</v>
      </c>
      <c r="I368" s="13">
        <v>598</v>
      </c>
    </row>
    <row r="369" spans="2:9">
      <c r="B369" s="9" t="s">
        <v>473</v>
      </c>
      <c r="C369" s="9" t="s">
        <v>401</v>
      </c>
      <c r="D369" s="30" t="s">
        <v>388</v>
      </c>
      <c r="E369" s="10" t="s">
        <v>136</v>
      </c>
      <c r="F369" s="10" t="s">
        <v>500</v>
      </c>
      <c r="G369" s="11">
        <v>1</v>
      </c>
      <c r="H369" s="10" t="s">
        <v>294</v>
      </c>
      <c r="I369" s="14">
        <v>180</v>
      </c>
    </row>
    <row r="370" spans="2:9">
      <c r="B370" s="9" t="s">
        <v>473</v>
      </c>
      <c r="C370" s="9" t="s">
        <v>401</v>
      </c>
      <c r="D370" s="30" t="s">
        <v>388</v>
      </c>
      <c r="E370" s="10" t="s">
        <v>136</v>
      </c>
      <c r="F370" s="10" t="s">
        <v>501</v>
      </c>
      <c r="G370" s="11">
        <v>1</v>
      </c>
      <c r="H370" s="12" t="s">
        <v>293</v>
      </c>
      <c r="I370" s="13">
        <v>1980</v>
      </c>
    </row>
    <row r="371" spans="2:9">
      <c r="B371" s="9" t="s">
        <v>473</v>
      </c>
      <c r="C371" s="9" t="s">
        <v>401</v>
      </c>
      <c r="D371" s="30" t="s">
        <v>388</v>
      </c>
      <c r="E371" s="10" t="s">
        <v>136</v>
      </c>
      <c r="F371" s="10" t="s">
        <v>501</v>
      </c>
      <c r="G371" s="11">
        <v>1</v>
      </c>
      <c r="H371" s="10" t="s">
        <v>294</v>
      </c>
      <c r="I371" s="14">
        <v>399</v>
      </c>
    </row>
    <row r="372" spans="2:9">
      <c r="B372" s="9" t="s">
        <v>473</v>
      </c>
      <c r="C372" s="9" t="s">
        <v>401</v>
      </c>
      <c r="D372" s="30" t="s">
        <v>388</v>
      </c>
      <c r="E372" s="10" t="s">
        <v>136</v>
      </c>
      <c r="F372" s="10" t="s">
        <v>502</v>
      </c>
      <c r="G372" s="11">
        <v>1</v>
      </c>
      <c r="H372" s="12" t="s">
        <v>293</v>
      </c>
      <c r="I372" s="13">
        <v>2980</v>
      </c>
    </row>
    <row r="373" spans="2:9">
      <c r="B373" s="9" t="s">
        <v>473</v>
      </c>
      <c r="C373" s="9" t="s">
        <v>401</v>
      </c>
      <c r="D373" s="30" t="s">
        <v>388</v>
      </c>
      <c r="E373" s="10" t="s">
        <v>136</v>
      </c>
      <c r="F373" s="10" t="s">
        <v>502</v>
      </c>
      <c r="G373" s="11">
        <v>1</v>
      </c>
      <c r="H373" s="10" t="s">
        <v>294</v>
      </c>
      <c r="I373" s="14">
        <v>680</v>
      </c>
    </row>
    <row r="374" spans="2:9">
      <c r="B374" s="9" t="s">
        <v>473</v>
      </c>
      <c r="C374" s="9" t="s">
        <v>401</v>
      </c>
      <c r="D374" s="30" t="s">
        <v>388</v>
      </c>
      <c r="E374" s="10" t="s">
        <v>136</v>
      </c>
      <c r="F374" s="10" t="s">
        <v>503</v>
      </c>
      <c r="G374" s="11">
        <v>1</v>
      </c>
      <c r="H374" s="12" t="s">
        <v>293</v>
      </c>
      <c r="I374" s="13">
        <v>598</v>
      </c>
    </row>
    <row r="375" spans="2:9">
      <c r="B375" s="9" t="s">
        <v>473</v>
      </c>
      <c r="C375" s="9" t="s">
        <v>401</v>
      </c>
      <c r="D375" s="30" t="s">
        <v>388</v>
      </c>
      <c r="E375" s="10" t="s">
        <v>136</v>
      </c>
      <c r="F375" s="10" t="s">
        <v>503</v>
      </c>
      <c r="G375" s="11">
        <v>1</v>
      </c>
      <c r="H375" s="10" t="s">
        <v>294</v>
      </c>
      <c r="I375" s="14">
        <v>380</v>
      </c>
    </row>
    <row r="376" spans="2:9">
      <c r="B376" s="9" t="s">
        <v>473</v>
      </c>
      <c r="C376" s="9" t="s">
        <v>401</v>
      </c>
      <c r="D376" s="30" t="s">
        <v>388</v>
      </c>
      <c r="E376" s="10" t="s">
        <v>136</v>
      </c>
      <c r="F376" s="10" t="s">
        <v>504</v>
      </c>
      <c r="G376" s="11">
        <v>1</v>
      </c>
      <c r="H376" s="12" t="s">
        <v>293</v>
      </c>
      <c r="I376" s="13">
        <v>1280</v>
      </c>
    </row>
    <row r="377" spans="2:9">
      <c r="B377" s="9" t="s">
        <v>473</v>
      </c>
      <c r="C377" s="9" t="s">
        <v>401</v>
      </c>
      <c r="D377" s="30" t="s">
        <v>388</v>
      </c>
      <c r="E377" s="10" t="s">
        <v>136</v>
      </c>
      <c r="F377" s="10" t="s">
        <v>504</v>
      </c>
      <c r="G377" s="11">
        <v>1</v>
      </c>
      <c r="H377" s="10" t="s">
        <v>294</v>
      </c>
      <c r="I377" s="14">
        <v>880</v>
      </c>
    </row>
    <row r="378" spans="2:9">
      <c r="B378" s="9" t="s">
        <v>473</v>
      </c>
      <c r="C378" s="9" t="s">
        <v>401</v>
      </c>
      <c r="D378" s="30" t="s">
        <v>388</v>
      </c>
      <c r="E378" s="10" t="s">
        <v>136</v>
      </c>
      <c r="F378" s="10" t="s">
        <v>504</v>
      </c>
      <c r="G378" s="11">
        <v>10</v>
      </c>
      <c r="H378" s="10" t="s">
        <v>294</v>
      </c>
      <c r="I378" s="14">
        <v>6800</v>
      </c>
    </row>
    <row r="379" spans="2:9">
      <c r="B379" s="9" t="s">
        <v>473</v>
      </c>
      <c r="C379" s="9" t="s">
        <v>401</v>
      </c>
      <c r="D379" s="30" t="s">
        <v>388</v>
      </c>
      <c r="E379" s="10" t="s">
        <v>136</v>
      </c>
      <c r="F379" s="10" t="s">
        <v>505</v>
      </c>
      <c r="G379" s="11">
        <v>1</v>
      </c>
      <c r="H379" s="12" t="s">
        <v>293</v>
      </c>
      <c r="I379" s="13">
        <v>1280</v>
      </c>
    </row>
    <row r="380" spans="2:9">
      <c r="B380" s="9" t="s">
        <v>473</v>
      </c>
      <c r="C380" s="9" t="s">
        <v>401</v>
      </c>
      <c r="D380" s="30" t="s">
        <v>388</v>
      </c>
      <c r="E380" s="10" t="s">
        <v>136</v>
      </c>
      <c r="F380" s="10" t="s">
        <v>505</v>
      </c>
      <c r="G380" s="11">
        <v>1</v>
      </c>
      <c r="H380" s="10" t="s">
        <v>294</v>
      </c>
      <c r="I380" s="14">
        <v>880</v>
      </c>
    </row>
    <row r="381" spans="2:9">
      <c r="B381" s="9" t="s">
        <v>473</v>
      </c>
      <c r="C381" s="9" t="s">
        <v>401</v>
      </c>
      <c r="D381" s="30" t="s">
        <v>388</v>
      </c>
      <c r="E381" s="10" t="s">
        <v>136</v>
      </c>
      <c r="F381" s="10" t="s">
        <v>505</v>
      </c>
      <c r="G381" s="11">
        <v>10</v>
      </c>
      <c r="H381" s="10" t="s">
        <v>294</v>
      </c>
      <c r="I381" s="14">
        <v>6800</v>
      </c>
    </row>
    <row r="382" spans="2:9">
      <c r="B382" s="9" t="s">
        <v>473</v>
      </c>
      <c r="C382" s="9" t="s">
        <v>401</v>
      </c>
      <c r="D382" s="30" t="s">
        <v>388</v>
      </c>
      <c r="E382" s="10" t="s">
        <v>136</v>
      </c>
      <c r="F382" s="10" t="s">
        <v>506</v>
      </c>
      <c r="G382" s="11">
        <v>1</v>
      </c>
      <c r="H382" s="12" t="s">
        <v>293</v>
      </c>
      <c r="I382" s="13">
        <v>1980</v>
      </c>
    </row>
    <row r="383" spans="2:9">
      <c r="B383" s="9" t="s">
        <v>473</v>
      </c>
      <c r="C383" s="9" t="s">
        <v>401</v>
      </c>
      <c r="D383" s="30" t="s">
        <v>388</v>
      </c>
      <c r="E383" s="10" t="s">
        <v>136</v>
      </c>
      <c r="F383" s="10" t="s">
        <v>506</v>
      </c>
      <c r="G383" s="11">
        <v>1</v>
      </c>
      <c r="H383" s="10" t="s">
        <v>294</v>
      </c>
      <c r="I383" s="14">
        <v>1280</v>
      </c>
    </row>
    <row r="384" spans="2:9">
      <c r="B384" s="9" t="s">
        <v>473</v>
      </c>
      <c r="C384" s="9" t="s">
        <v>401</v>
      </c>
      <c r="D384" s="30" t="s">
        <v>388</v>
      </c>
      <c r="E384" s="10" t="s">
        <v>136</v>
      </c>
      <c r="F384" s="10" t="s">
        <v>506</v>
      </c>
      <c r="G384" s="11">
        <v>10</v>
      </c>
      <c r="H384" s="10" t="s">
        <v>294</v>
      </c>
      <c r="I384" s="14">
        <v>8800</v>
      </c>
    </row>
    <row r="385" spans="2:9">
      <c r="B385" s="9" t="s">
        <v>473</v>
      </c>
      <c r="C385" s="9" t="s">
        <v>401</v>
      </c>
      <c r="D385" s="30" t="s">
        <v>388</v>
      </c>
      <c r="E385" s="10" t="s">
        <v>136</v>
      </c>
      <c r="F385" s="11" t="s">
        <v>507</v>
      </c>
      <c r="G385" s="11">
        <v>1</v>
      </c>
      <c r="H385" s="12" t="s">
        <v>293</v>
      </c>
      <c r="I385" s="13">
        <v>2980</v>
      </c>
    </row>
    <row r="386" spans="2:9">
      <c r="B386" s="9" t="s">
        <v>473</v>
      </c>
      <c r="C386" s="9" t="s">
        <v>401</v>
      </c>
      <c r="D386" s="30" t="s">
        <v>388</v>
      </c>
      <c r="E386" s="10" t="s">
        <v>136</v>
      </c>
      <c r="F386" s="11" t="s">
        <v>507</v>
      </c>
      <c r="G386" s="11">
        <v>1</v>
      </c>
      <c r="H386" s="10" t="s">
        <v>294</v>
      </c>
      <c r="I386" s="14">
        <v>1500</v>
      </c>
    </row>
    <row r="387" spans="2:9">
      <c r="B387" s="9" t="s">
        <v>473</v>
      </c>
      <c r="C387" s="9" t="s">
        <v>401</v>
      </c>
      <c r="D387" s="30" t="s">
        <v>388</v>
      </c>
      <c r="E387" s="10" t="s">
        <v>136</v>
      </c>
      <c r="F387" s="10" t="s">
        <v>508</v>
      </c>
      <c r="G387" s="11">
        <v>1</v>
      </c>
      <c r="H387" s="12" t="s">
        <v>293</v>
      </c>
      <c r="I387" s="13">
        <v>5800</v>
      </c>
    </row>
    <row r="388" spans="2:9">
      <c r="B388" s="9" t="s">
        <v>473</v>
      </c>
      <c r="C388" s="9" t="s">
        <v>401</v>
      </c>
      <c r="D388" s="30" t="s">
        <v>388</v>
      </c>
      <c r="E388" s="10" t="s">
        <v>136</v>
      </c>
      <c r="F388" s="10" t="s">
        <v>508</v>
      </c>
      <c r="G388" s="11">
        <v>1</v>
      </c>
      <c r="H388" s="10" t="s">
        <v>294</v>
      </c>
      <c r="I388" s="14">
        <v>3000</v>
      </c>
    </row>
    <row r="389" spans="2:9">
      <c r="B389" s="9" t="s">
        <v>473</v>
      </c>
      <c r="C389" s="9" t="s">
        <v>401</v>
      </c>
      <c r="D389" s="30" t="s">
        <v>388</v>
      </c>
      <c r="E389" s="10" t="s">
        <v>136</v>
      </c>
      <c r="F389" s="10" t="s">
        <v>508</v>
      </c>
      <c r="G389" s="11">
        <v>8</v>
      </c>
      <c r="H389" s="10" t="s">
        <v>294</v>
      </c>
      <c r="I389" s="14">
        <v>13800</v>
      </c>
    </row>
    <row r="390" spans="2:9">
      <c r="B390" s="9" t="s">
        <v>473</v>
      </c>
      <c r="C390" s="9" t="s">
        <v>401</v>
      </c>
      <c r="D390" s="30" t="s">
        <v>388</v>
      </c>
      <c r="E390" s="10" t="s">
        <v>136</v>
      </c>
      <c r="F390" s="11" t="s">
        <v>509</v>
      </c>
      <c r="G390" s="11">
        <v>1</v>
      </c>
      <c r="H390" s="12" t="s">
        <v>510</v>
      </c>
      <c r="I390" s="13">
        <v>88000</v>
      </c>
    </row>
    <row r="391" spans="2:9">
      <c r="B391" s="9" t="s">
        <v>473</v>
      </c>
      <c r="C391" s="9" t="s">
        <v>401</v>
      </c>
      <c r="D391" s="30" t="s">
        <v>388</v>
      </c>
      <c r="E391" s="10" t="s">
        <v>136</v>
      </c>
      <c r="F391" s="11" t="s">
        <v>509</v>
      </c>
      <c r="G391" s="11">
        <v>1</v>
      </c>
      <c r="H391" s="10" t="s">
        <v>511</v>
      </c>
      <c r="I391" s="14">
        <v>48000</v>
      </c>
    </row>
    <row r="392" spans="2:9">
      <c r="B392" s="9" t="s">
        <v>473</v>
      </c>
      <c r="C392" s="9" t="s">
        <v>401</v>
      </c>
      <c r="D392" s="30" t="s">
        <v>388</v>
      </c>
      <c r="E392" s="10" t="s">
        <v>136</v>
      </c>
      <c r="F392" s="11" t="s">
        <v>509</v>
      </c>
      <c r="G392" s="11">
        <v>8</v>
      </c>
      <c r="H392" s="10" t="s">
        <v>511</v>
      </c>
      <c r="I392" s="14">
        <v>29800</v>
      </c>
    </row>
    <row r="393" spans="2:9">
      <c r="B393" s="9" t="s">
        <v>473</v>
      </c>
      <c r="C393" s="9" t="s">
        <v>401</v>
      </c>
      <c r="D393" s="30" t="s">
        <v>388</v>
      </c>
      <c r="E393" s="10" t="s">
        <v>136</v>
      </c>
      <c r="F393" s="10" t="s">
        <v>512</v>
      </c>
      <c r="G393" s="11">
        <v>1</v>
      </c>
      <c r="H393" s="12" t="s">
        <v>293</v>
      </c>
      <c r="I393" s="13">
        <v>280</v>
      </c>
    </row>
    <row r="394" spans="2:9">
      <c r="B394" s="9" t="s">
        <v>473</v>
      </c>
      <c r="C394" s="9" t="s">
        <v>401</v>
      </c>
      <c r="D394" s="30" t="s">
        <v>388</v>
      </c>
      <c r="E394" s="10" t="s">
        <v>136</v>
      </c>
      <c r="F394" s="10" t="s">
        <v>512</v>
      </c>
      <c r="G394" s="11">
        <v>1</v>
      </c>
      <c r="H394" s="10" t="s">
        <v>294</v>
      </c>
      <c r="I394" s="14">
        <v>128</v>
      </c>
    </row>
    <row r="395" spans="2:9">
      <c r="B395" s="9" t="s">
        <v>473</v>
      </c>
      <c r="C395" s="9" t="s">
        <v>401</v>
      </c>
      <c r="D395" s="30" t="s">
        <v>388</v>
      </c>
      <c r="E395" s="10" t="s">
        <v>136</v>
      </c>
      <c r="F395" s="10" t="s">
        <v>512</v>
      </c>
      <c r="G395" s="11">
        <v>24</v>
      </c>
      <c r="H395" s="10" t="s">
        <v>294</v>
      </c>
      <c r="I395" s="14">
        <v>1980</v>
      </c>
    </row>
    <row r="396" spans="2:9">
      <c r="B396" s="9" t="s">
        <v>473</v>
      </c>
      <c r="C396" s="9" t="s">
        <v>401</v>
      </c>
      <c r="D396" s="30" t="s">
        <v>388</v>
      </c>
      <c r="E396" s="10" t="s">
        <v>136</v>
      </c>
      <c r="F396" s="10" t="s">
        <v>513</v>
      </c>
      <c r="G396" s="11">
        <v>1</v>
      </c>
      <c r="H396" s="12" t="s">
        <v>293</v>
      </c>
      <c r="I396" s="13">
        <v>280</v>
      </c>
    </row>
    <row r="397" spans="2:9">
      <c r="B397" s="9" t="s">
        <v>473</v>
      </c>
      <c r="C397" s="9" t="s">
        <v>401</v>
      </c>
      <c r="D397" s="30" t="s">
        <v>388</v>
      </c>
      <c r="E397" s="10" t="s">
        <v>136</v>
      </c>
      <c r="F397" s="10" t="s">
        <v>513</v>
      </c>
      <c r="G397" s="11">
        <v>1</v>
      </c>
      <c r="H397" s="10" t="s">
        <v>294</v>
      </c>
      <c r="I397" s="14">
        <v>198</v>
      </c>
    </row>
    <row r="398" spans="2:9">
      <c r="B398" s="9" t="s">
        <v>473</v>
      </c>
      <c r="C398" s="9" t="s">
        <v>401</v>
      </c>
      <c r="D398" s="30" t="s">
        <v>388</v>
      </c>
      <c r="E398" s="10" t="s">
        <v>136</v>
      </c>
      <c r="F398" s="11" t="s">
        <v>513</v>
      </c>
      <c r="G398" s="11">
        <v>24</v>
      </c>
      <c r="H398" s="10" t="s">
        <v>294</v>
      </c>
      <c r="I398" s="14">
        <v>2980</v>
      </c>
    </row>
    <row r="399" spans="2:9">
      <c r="B399" s="9" t="s">
        <v>473</v>
      </c>
      <c r="C399" s="9" t="s">
        <v>401</v>
      </c>
      <c r="D399" s="30" t="s">
        <v>388</v>
      </c>
      <c r="E399" s="10" t="s">
        <v>136</v>
      </c>
      <c r="F399" s="11" t="s">
        <v>514</v>
      </c>
      <c r="G399" s="11">
        <v>1</v>
      </c>
      <c r="H399" s="12" t="s">
        <v>293</v>
      </c>
      <c r="I399" s="13">
        <v>380</v>
      </c>
    </row>
    <row r="400" spans="2:9">
      <c r="B400" s="9" t="s">
        <v>473</v>
      </c>
      <c r="C400" s="9" t="s">
        <v>401</v>
      </c>
      <c r="D400" s="30" t="s">
        <v>388</v>
      </c>
      <c r="E400" s="10" t="s">
        <v>136</v>
      </c>
      <c r="F400" s="11" t="s">
        <v>514</v>
      </c>
      <c r="G400" s="11">
        <v>1</v>
      </c>
      <c r="H400" s="10" t="s">
        <v>294</v>
      </c>
      <c r="I400" s="14">
        <v>298</v>
      </c>
    </row>
    <row r="401" spans="2:9">
      <c r="B401" s="9" t="s">
        <v>473</v>
      </c>
      <c r="C401" s="9" t="s">
        <v>401</v>
      </c>
      <c r="D401" s="30" t="s">
        <v>388</v>
      </c>
      <c r="E401" s="10" t="s">
        <v>136</v>
      </c>
      <c r="F401" s="11" t="s">
        <v>514</v>
      </c>
      <c r="G401" s="11">
        <v>24</v>
      </c>
      <c r="H401" s="10" t="s">
        <v>294</v>
      </c>
      <c r="I401" s="14">
        <v>3980</v>
      </c>
    </row>
    <row r="402" spans="2:9">
      <c r="B402" s="9" t="s">
        <v>473</v>
      </c>
      <c r="C402" s="9" t="s">
        <v>401</v>
      </c>
      <c r="D402" s="30" t="s">
        <v>388</v>
      </c>
      <c r="E402" s="10" t="s">
        <v>136</v>
      </c>
      <c r="F402" s="11" t="s">
        <v>515</v>
      </c>
      <c r="G402" s="11">
        <v>1</v>
      </c>
      <c r="H402" s="12" t="s">
        <v>293</v>
      </c>
      <c r="I402" s="13">
        <v>1280</v>
      </c>
    </row>
    <row r="403" spans="2:9">
      <c r="B403" s="9" t="s">
        <v>473</v>
      </c>
      <c r="C403" s="9" t="s">
        <v>401</v>
      </c>
      <c r="D403" s="30" t="s">
        <v>388</v>
      </c>
      <c r="E403" s="10" t="s">
        <v>136</v>
      </c>
      <c r="F403" s="11" t="s">
        <v>515</v>
      </c>
      <c r="G403" s="11">
        <v>1</v>
      </c>
      <c r="H403" s="10" t="s">
        <v>294</v>
      </c>
      <c r="I403" s="14">
        <v>980</v>
      </c>
    </row>
    <row r="404" spans="2:9">
      <c r="B404" s="9" t="s">
        <v>473</v>
      </c>
      <c r="C404" s="9" t="s">
        <v>401</v>
      </c>
      <c r="D404" s="30" t="s">
        <v>388</v>
      </c>
      <c r="E404" s="10" t="s">
        <v>136</v>
      </c>
      <c r="F404" s="11" t="s">
        <v>515</v>
      </c>
      <c r="G404" s="11">
        <v>12</v>
      </c>
      <c r="H404" s="10" t="s">
        <v>294</v>
      </c>
      <c r="I404" s="14">
        <v>6800</v>
      </c>
    </row>
    <row r="405" spans="2:9">
      <c r="B405" s="9" t="s">
        <v>473</v>
      </c>
      <c r="C405" s="9" t="s">
        <v>401</v>
      </c>
      <c r="D405" s="9" t="s">
        <v>137</v>
      </c>
      <c r="E405" s="12" t="s">
        <v>317</v>
      </c>
      <c r="F405" s="11" t="s">
        <v>516</v>
      </c>
      <c r="G405" s="11">
        <v>1</v>
      </c>
      <c r="H405" s="12" t="s">
        <v>293</v>
      </c>
      <c r="I405" s="13">
        <v>500</v>
      </c>
    </row>
    <row r="406" spans="2:9">
      <c r="B406" s="9" t="s">
        <v>473</v>
      </c>
      <c r="C406" s="9" t="s">
        <v>401</v>
      </c>
      <c r="D406" s="9" t="s">
        <v>137</v>
      </c>
      <c r="E406" s="12" t="s">
        <v>317</v>
      </c>
      <c r="F406" s="11" t="s">
        <v>516</v>
      </c>
      <c r="G406" s="11">
        <v>10</v>
      </c>
      <c r="H406" s="10" t="s">
        <v>294</v>
      </c>
      <c r="I406" s="14">
        <v>3980</v>
      </c>
    </row>
    <row r="407" spans="2:9">
      <c r="B407" s="9" t="s">
        <v>473</v>
      </c>
      <c r="C407" s="9" t="s">
        <v>401</v>
      </c>
      <c r="D407" s="9" t="s">
        <v>137</v>
      </c>
      <c r="E407" s="12" t="s">
        <v>317</v>
      </c>
      <c r="F407" s="11" t="s">
        <v>517</v>
      </c>
      <c r="G407" s="11">
        <v>1</v>
      </c>
      <c r="H407" s="12" t="s">
        <v>293</v>
      </c>
      <c r="I407" s="13">
        <v>980</v>
      </c>
    </row>
    <row r="408" spans="2:9">
      <c r="B408" s="9" t="s">
        <v>473</v>
      </c>
      <c r="C408" s="9" t="s">
        <v>401</v>
      </c>
      <c r="D408" s="9" t="s">
        <v>137</v>
      </c>
      <c r="E408" s="12" t="s">
        <v>317</v>
      </c>
      <c r="F408" s="11" t="s">
        <v>517</v>
      </c>
      <c r="G408" s="11">
        <v>1</v>
      </c>
      <c r="H408" s="10" t="s">
        <v>294</v>
      </c>
      <c r="I408" s="14">
        <v>680</v>
      </c>
    </row>
    <row r="409" spans="2:9">
      <c r="B409" s="9" t="s">
        <v>473</v>
      </c>
      <c r="C409" s="9" t="s">
        <v>401</v>
      </c>
      <c r="D409" s="9" t="s">
        <v>137</v>
      </c>
      <c r="E409" s="12" t="s">
        <v>317</v>
      </c>
      <c r="F409" s="11" t="s">
        <v>517</v>
      </c>
      <c r="G409" s="11">
        <v>10</v>
      </c>
      <c r="H409" s="10" t="s">
        <v>294</v>
      </c>
      <c r="I409" s="14">
        <v>5200</v>
      </c>
    </row>
    <row r="410" spans="2:9">
      <c r="B410" s="9" t="s">
        <v>473</v>
      </c>
      <c r="C410" s="9" t="s">
        <v>401</v>
      </c>
      <c r="D410" s="9" t="s">
        <v>137</v>
      </c>
      <c r="E410" s="12" t="s">
        <v>317</v>
      </c>
      <c r="F410" s="10" t="s">
        <v>518</v>
      </c>
      <c r="G410" s="11">
        <v>1</v>
      </c>
      <c r="H410" s="12" t="s">
        <v>293</v>
      </c>
      <c r="I410" s="13">
        <v>1980</v>
      </c>
    </row>
    <row r="411" spans="2:9">
      <c r="B411" s="9" t="s">
        <v>473</v>
      </c>
      <c r="C411" s="9" t="s">
        <v>401</v>
      </c>
      <c r="D411" s="9" t="s">
        <v>137</v>
      </c>
      <c r="E411" s="12" t="s">
        <v>317</v>
      </c>
      <c r="F411" s="10" t="s">
        <v>518</v>
      </c>
      <c r="G411" s="11">
        <v>10</v>
      </c>
      <c r="H411" s="10" t="s">
        <v>294</v>
      </c>
      <c r="I411" s="14">
        <v>9800</v>
      </c>
    </row>
    <row r="412" spans="2:9">
      <c r="B412" s="9" t="s">
        <v>473</v>
      </c>
      <c r="C412" s="9" t="s">
        <v>401</v>
      </c>
      <c r="D412" s="9" t="s">
        <v>137</v>
      </c>
      <c r="E412" s="12" t="s">
        <v>317</v>
      </c>
      <c r="F412" s="31" t="s">
        <v>519</v>
      </c>
      <c r="G412" s="11">
        <v>1</v>
      </c>
      <c r="H412" s="12" t="s">
        <v>293</v>
      </c>
      <c r="I412" s="13">
        <v>1980</v>
      </c>
    </row>
    <row r="413" spans="2:9">
      <c r="B413" s="9" t="s">
        <v>473</v>
      </c>
      <c r="C413" s="9" t="s">
        <v>401</v>
      </c>
      <c r="D413" s="9" t="s">
        <v>137</v>
      </c>
      <c r="E413" s="12" t="s">
        <v>317</v>
      </c>
      <c r="F413" s="31" t="s">
        <v>519</v>
      </c>
      <c r="G413" s="11">
        <v>10</v>
      </c>
      <c r="H413" s="10" t="s">
        <v>294</v>
      </c>
      <c r="I413" s="14">
        <v>9800</v>
      </c>
    </row>
    <row r="414" spans="2:9">
      <c r="B414" s="9" t="s">
        <v>473</v>
      </c>
      <c r="C414" s="9" t="s">
        <v>401</v>
      </c>
      <c r="D414" s="9" t="s">
        <v>137</v>
      </c>
      <c r="E414" s="12" t="s">
        <v>317</v>
      </c>
      <c r="F414" s="10" t="s">
        <v>520</v>
      </c>
      <c r="G414" s="11">
        <v>1</v>
      </c>
      <c r="H414" s="12" t="s">
        <v>293</v>
      </c>
      <c r="I414" s="13">
        <v>2980</v>
      </c>
    </row>
    <row r="415" spans="2:9">
      <c r="B415" s="9" t="s">
        <v>473</v>
      </c>
      <c r="C415" s="9" t="s">
        <v>401</v>
      </c>
      <c r="D415" s="9" t="s">
        <v>137</v>
      </c>
      <c r="E415" s="12" t="s">
        <v>317</v>
      </c>
      <c r="F415" s="10" t="s">
        <v>520</v>
      </c>
      <c r="G415" s="11">
        <v>10</v>
      </c>
      <c r="H415" s="10" t="s">
        <v>294</v>
      </c>
      <c r="I415" s="14">
        <v>12800</v>
      </c>
    </row>
    <row r="416" spans="2:9">
      <c r="B416" s="9" t="s">
        <v>473</v>
      </c>
      <c r="C416" s="9" t="s">
        <v>401</v>
      </c>
      <c r="D416" s="9" t="s">
        <v>137</v>
      </c>
      <c r="E416" s="12" t="s">
        <v>317</v>
      </c>
      <c r="F416" s="10" t="s">
        <v>521</v>
      </c>
      <c r="G416" s="11">
        <v>1</v>
      </c>
      <c r="H416" s="12" t="s">
        <v>293</v>
      </c>
      <c r="I416" s="13">
        <v>9800</v>
      </c>
    </row>
    <row r="417" spans="2:9">
      <c r="B417" s="9" t="s">
        <v>473</v>
      </c>
      <c r="C417" s="9" t="s">
        <v>401</v>
      </c>
      <c r="D417" s="9" t="s">
        <v>137</v>
      </c>
      <c r="E417" s="12" t="s">
        <v>317</v>
      </c>
      <c r="F417" s="10" t="s">
        <v>521</v>
      </c>
      <c r="G417" s="11">
        <v>1</v>
      </c>
      <c r="H417" s="10" t="s">
        <v>294</v>
      </c>
      <c r="I417" s="14">
        <v>5800</v>
      </c>
    </row>
    <row r="418" spans="2:9">
      <c r="B418" s="9" t="s">
        <v>473</v>
      </c>
      <c r="C418" s="9" t="s">
        <v>401</v>
      </c>
      <c r="D418" s="9" t="s">
        <v>137</v>
      </c>
      <c r="E418" s="12" t="s">
        <v>317</v>
      </c>
      <c r="F418" s="10" t="s">
        <v>522</v>
      </c>
      <c r="G418" s="11">
        <v>1</v>
      </c>
      <c r="H418" s="12" t="s">
        <v>293</v>
      </c>
      <c r="I418" s="13">
        <v>9800</v>
      </c>
    </row>
    <row r="419" spans="2:9">
      <c r="B419" s="9" t="s">
        <v>473</v>
      </c>
      <c r="C419" s="9" t="s">
        <v>401</v>
      </c>
      <c r="D419" s="9" t="s">
        <v>137</v>
      </c>
      <c r="E419" s="12" t="s">
        <v>317</v>
      </c>
      <c r="F419" s="10" t="s">
        <v>522</v>
      </c>
      <c r="G419" s="11">
        <v>1</v>
      </c>
      <c r="H419" s="10" t="s">
        <v>294</v>
      </c>
      <c r="I419" s="14">
        <v>5800</v>
      </c>
    </row>
    <row r="420" spans="2:9">
      <c r="B420" s="9" t="s">
        <v>473</v>
      </c>
      <c r="C420" s="9" t="s">
        <v>401</v>
      </c>
      <c r="D420" s="9" t="s">
        <v>137</v>
      </c>
      <c r="E420" s="12" t="s">
        <v>317</v>
      </c>
      <c r="F420" s="10" t="s">
        <v>523</v>
      </c>
      <c r="G420" s="11">
        <v>1</v>
      </c>
      <c r="H420" s="12" t="s">
        <v>293</v>
      </c>
      <c r="I420" s="13">
        <v>19800</v>
      </c>
    </row>
    <row r="421" spans="2:9">
      <c r="B421" s="9" t="s">
        <v>473</v>
      </c>
      <c r="C421" s="9" t="s">
        <v>401</v>
      </c>
      <c r="D421" s="9" t="s">
        <v>137</v>
      </c>
      <c r="E421" s="12" t="s">
        <v>317</v>
      </c>
      <c r="F421" s="10" t="s">
        <v>523</v>
      </c>
      <c r="G421" s="11">
        <v>1</v>
      </c>
      <c r="H421" s="10" t="s">
        <v>294</v>
      </c>
      <c r="I421" s="14">
        <v>9800</v>
      </c>
    </row>
    <row r="422" spans="2:9">
      <c r="B422" s="9" t="s">
        <v>473</v>
      </c>
      <c r="C422" s="9" t="s">
        <v>401</v>
      </c>
      <c r="D422" s="9" t="s">
        <v>137</v>
      </c>
      <c r="E422" s="12" t="s">
        <v>317</v>
      </c>
      <c r="F422" s="10" t="s">
        <v>524</v>
      </c>
      <c r="G422" s="11">
        <v>1</v>
      </c>
      <c r="H422" s="12" t="s">
        <v>293</v>
      </c>
      <c r="I422" s="13">
        <v>39800</v>
      </c>
    </row>
    <row r="423" spans="2:9">
      <c r="B423" s="9" t="s">
        <v>473</v>
      </c>
      <c r="C423" s="9" t="s">
        <v>401</v>
      </c>
      <c r="D423" s="9" t="s">
        <v>137</v>
      </c>
      <c r="E423" s="12" t="s">
        <v>317</v>
      </c>
      <c r="F423" s="10" t="s">
        <v>524</v>
      </c>
      <c r="G423" s="11">
        <v>3</v>
      </c>
      <c r="H423" s="10" t="s">
        <v>294</v>
      </c>
      <c r="I423" s="14">
        <v>19600</v>
      </c>
    </row>
    <row r="424" spans="2:9">
      <c r="B424" s="9" t="s">
        <v>473</v>
      </c>
      <c r="C424" s="9" t="s">
        <v>401</v>
      </c>
      <c r="D424" s="9" t="s">
        <v>137</v>
      </c>
      <c r="E424" s="12" t="s">
        <v>317</v>
      </c>
      <c r="F424" s="10" t="s">
        <v>525</v>
      </c>
      <c r="G424" s="11">
        <v>1</v>
      </c>
      <c r="H424" s="12" t="s">
        <v>293</v>
      </c>
      <c r="I424" s="13">
        <v>39800</v>
      </c>
    </row>
    <row r="425" spans="2:9">
      <c r="B425" s="9" t="s">
        <v>473</v>
      </c>
      <c r="C425" s="9" t="s">
        <v>401</v>
      </c>
      <c r="D425" s="9" t="s">
        <v>137</v>
      </c>
      <c r="E425" s="12" t="s">
        <v>317</v>
      </c>
      <c r="F425" s="10" t="s">
        <v>525</v>
      </c>
      <c r="G425" s="11">
        <v>1</v>
      </c>
      <c r="H425" s="10" t="s">
        <v>511</v>
      </c>
      <c r="I425" s="14">
        <v>19600</v>
      </c>
    </row>
    <row r="426" spans="2:9">
      <c r="B426" s="9" t="s">
        <v>473</v>
      </c>
      <c r="C426" s="9" t="s">
        <v>401</v>
      </c>
      <c r="D426" s="9" t="s">
        <v>137</v>
      </c>
      <c r="E426" s="12" t="s">
        <v>317</v>
      </c>
      <c r="F426" s="10" t="s">
        <v>526</v>
      </c>
      <c r="G426" s="11">
        <v>1</v>
      </c>
      <c r="H426" s="12" t="s">
        <v>293</v>
      </c>
      <c r="I426" s="13">
        <v>29800</v>
      </c>
    </row>
    <row r="427" spans="2:9">
      <c r="B427" s="9" t="s">
        <v>473</v>
      </c>
      <c r="C427" s="9" t="s">
        <v>401</v>
      </c>
      <c r="D427" s="9" t="s">
        <v>137</v>
      </c>
      <c r="E427" s="12" t="s">
        <v>317</v>
      </c>
      <c r="F427" s="10" t="s">
        <v>526</v>
      </c>
      <c r="G427" s="11">
        <v>1</v>
      </c>
      <c r="H427" s="10" t="s">
        <v>294</v>
      </c>
      <c r="I427" s="14">
        <v>19600</v>
      </c>
    </row>
    <row r="428" spans="2:9">
      <c r="B428" s="9" t="s">
        <v>473</v>
      </c>
      <c r="C428" s="9" t="s">
        <v>401</v>
      </c>
      <c r="D428" s="9" t="s">
        <v>137</v>
      </c>
      <c r="E428" s="12" t="s">
        <v>317</v>
      </c>
      <c r="F428" s="10" t="s">
        <v>527</v>
      </c>
      <c r="G428" s="11">
        <v>1</v>
      </c>
      <c r="H428" s="12" t="s">
        <v>293</v>
      </c>
      <c r="I428" s="13">
        <v>59800</v>
      </c>
    </row>
    <row r="429" spans="2:9">
      <c r="B429" s="9" t="s">
        <v>473</v>
      </c>
      <c r="C429" s="9" t="s">
        <v>401</v>
      </c>
      <c r="D429" s="9" t="s">
        <v>137</v>
      </c>
      <c r="E429" s="12" t="s">
        <v>317</v>
      </c>
      <c r="F429" s="10" t="s">
        <v>527</v>
      </c>
      <c r="G429" s="11">
        <v>1</v>
      </c>
      <c r="H429" s="10" t="s">
        <v>511</v>
      </c>
      <c r="I429" s="14">
        <v>29600</v>
      </c>
    </row>
    <row r="430" spans="2:9">
      <c r="B430" s="9" t="s">
        <v>473</v>
      </c>
      <c r="C430" s="9" t="s">
        <v>401</v>
      </c>
      <c r="D430" s="9" t="s">
        <v>137</v>
      </c>
      <c r="E430" s="18" t="s">
        <v>317</v>
      </c>
      <c r="F430" s="16" t="s">
        <v>528</v>
      </c>
      <c r="G430" s="16">
        <v>1</v>
      </c>
      <c r="H430" s="16" t="s">
        <v>320</v>
      </c>
      <c r="I430" s="17">
        <v>398</v>
      </c>
    </row>
    <row r="431" spans="2:9">
      <c r="B431" s="9" t="s">
        <v>473</v>
      </c>
      <c r="C431" s="9" t="s">
        <v>401</v>
      </c>
      <c r="D431" s="9" t="s">
        <v>137</v>
      </c>
      <c r="E431" s="18" t="s">
        <v>317</v>
      </c>
      <c r="F431" s="16" t="s">
        <v>529</v>
      </c>
      <c r="G431" s="16">
        <v>1</v>
      </c>
      <c r="H431" s="16" t="s">
        <v>320</v>
      </c>
      <c r="I431" s="17">
        <v>520</v>
      </c>
    </row>
    <row r="432" spans="2:9">
      <c r="B432" s="9" t="s">
        <v>473</v>
      </c>
      <c r="C432" s="9" t="s">
        <v>401</v>
      </c>
      <c r="D432" s="9" t="s">
        <v>137</v>
      </c>
      <c r="E432" s="18" t="s">
        <v>317</v>
      </c>
      <c r="F432" s="16" t="s">
        <v>530</v>
      </c>
      <c r="G432" s="16">
        <v>1</v>
      </c>
      <c r="H432" s="16" t="s">
        <v>320</v>
      </c>
      <c r="I432" s="17">
        <v>680</v>
      </c>
    </row>
    <row r="433" spans="2:9">
      <c r="B433" s="9" t="s">
        <v>473</v>
      </c>
      <c r="C433" s="9" t="s">
        <v>401</v>
      </c>
      <c r="D433" s="9" t="s">
        <v>137</v>
      </c>
      <c r="E433" s="18" t="s">
        <v>317</v>
      </c>
      <c r="F433" s="16" t="s">
        <v>531</v>
      </c>
      <c r="G433" s="16">
        <v>10</v>
      </c>
      <c r="H433" s="16" t="s">
        <v>320</v>
      </c>
      <c r="I433" s="17">
        <v>3980</v>
      </c>
    </row>
    <row r="434" spans="2:9">
      <c r="B434" s="9" t="s">
        <v>473</v>
      </c>
      <c r="C434" s="9" t="s">
        <v>401</v>
      </c>
      <c r="D434" s="9" t="s">
        <v>137</v>
      </c>
      <c r="E434" s="18" t="s">
        <v>317</v>
      </c>
      <c r="F434" s="16" t="s">
        <v>531</v>
      </c>
      <c r="G434" s="16">
        <v>1</v>
      </c>
      <c r="H434" s="16" t="s">
        <v>320</v>
      </c>
      <c r="I434" s="17">
        <v>500</v>
      </c>
    </row>
    <row r="435" spans="2:9">
      <c r="B435" s="9" t="s">
        <v>473</v>
      </c>
      <c r="C435" s="9" t="s">
        <v>401</v>
      </c>
      <c r="D435" s="30" t="s">
        <v>138</v>
      </c>
      <c r="E435" s="12" t="s">
        <v>301</v>
      </c>
      <c r="F435" s="11" t="s">
        <v>532</v>
      </c>
      <c r="G435" s="11">
        <v>1</v>
      </c>
      <c r="H435" s="12" t="s">
        <v>293</v>
      </c>
      <c r="I435" s="13">
        <v>280</v>
      </c>
    </row>
    <row r="436" spans="2:9">
      <c r="B436" s="9" t="s">
        <v>473</v>
      </c>
      <c r="C436" s="9" t="s">
        <v>401</v>
      </c>
      <c r="D436" s="30" t="s">
        <v>138</v>
      </c>
      <c r="E436" s="12" t="s">
        <v>301</v>
      </c>
      <c r="F436" s="11" t="s">
        <v>532</v>
      </c>
      <c r="G436" s="11">
        <v>1</v>
      </c>
      <c r="H436" s="10" t="s">
        <v>294</v>
      </c>
      <c r="I436" s="14">
        <v>180</v>
      </c>
    </row>
    <row r="437" spans="2:9">
      <c r="B437" s="9" t="s">
        <v>473</v>
      </c>
      <c r="C437" s="9" t="s">
        <v>401</v>
      </c>
      <c r="D437" s="30" t="s">
        <v>138</v>
      </c>
      <c r="E437" s="12" t="s">
        <v>301</v>
      </c>
      <c r="F437" s="11" t="s">
        <v>533</v>
      </c>
      <c r="G437" s="11">
        <v>1</v>
      </c>
      <c r="H437" s="12" t="s">
        <v>293</v>
      </c>
      <c r="I437" s="13">
        <v>2980</v>
      </c>
    </row>
    <row r="438" spans="2:9">
      <c r="B438" s="9" t="s">
        <v>473</v>
      </c>
      <c r="C438" s="9" t="s">
        <v>401</v>
      </c>
      <c r="D438" s="30" t="s">
        <v>138</v>
      </c>
      <c r="E438" s="12" t="s">
        <v>301</v>
      </c>
      <c r="F438" s="11" t="s">
        <v>533</v>
      </c>
      <c r="G438" s="11">
        <v>10</v>
      </c>
      <c r="H438" s="10" t="s">
        <v>294</v>
      </c>
      <c r="I438" s="14">
        <v>12800</v>
      </c>
    </row>
    <row r="439" spans="2:9">
      <c r="B439" s="9" t="s">
        <v>473</v>
      </c>
      <c r="C439" s="9" t="s">
        <v>401</v>
      </c>
      <c r="D439" s="30" t="s">
        <v>138</v>
      </c>
      <c r="E439" s="12" t="s">
        <v>301</v>
      </c>
      <c r="F439" s="11" t="s">
        <v>534</v>
      </c>
      <c r="G439" s="11">
        <v>1</v>
      </c>
      <c r="H439" s="12" t="s">
        <v>293</v>
      </c>
      <c r="I439" s="13">
        <v>5980</v>
      </c>
    </row>
    <row r="440" spans="2:9">
      <c r="B440" s="9" t="s">
        <v>473</v>
      </c>
      <c r="C440" s="9" t="s">
        <v>401</v>
      </c>
      <c r="D440" s="30" t="s">
        <v>138</v>
      </c>
      <c r="E440" s="12" t="s">
        <v>301</v>
      </c>
      <c r="F440" s="11" t="s">
        <v>534</v>
      </c>
      <c r="G440" s="11">
        <v>1</v>
      </c>
      <c r="H440" s="10" t="s">
        <v>294</v>
      </c>
      <c r="I440" s="14">
        <v>3800</v>
      </c>
    </row>
    <row r="441" spans="2:9">
      <c r="B441" s="9" t="s">
        <v>473</v>
      </c>
      <c r="C441" s="9" t="s">
        <v>401</v>
      </c>
      <c r="D441" s="30" t="s">
        <v>138</v>
      </c>
      <c r="E441" s="12" t="s">
        <v>301</v>
      </c>
      <c r="F441" s="11" t="s">
        <v>534</v>
      </c>
      <c r="G441" s="11">
        <v>3</v>
      </c>
      <c r="H441" s="10" t="s">
        <v>294</v>
      </c>
      <c r="I441" s="14">
        <v>9800</v>
      </c>
    </row>
    <row r="442" spans="2:9">
      <c r="B442" s="9" t="s">
        <v>473</v>
      </c>
      <c r="C442" s="9" t="s">
        <v>401</v>
      </c>
      <c r="D442" s="30" t="s">
        <v>138</v>
      </c>
      <c r="E442" s="12" t="s">
        <v>301</v>
      </c>
      <c r="F442" s="11" t="s">
        <v>534</v>
      </c>
      <c r="G442" s="11">
        <v>6</v>
      </c>
      <c r="H442" s="10" t="s">
        <v>294</v>
      </c>
      <c r="I442" s="14">
        <v>19800</v>
      </c>
    </row>
    <row r="443" spans="2:9">
      <c r="B443" s="9" t="s">
        <v>473</v>
      </c>
      <c r="C443" s="9" t="s">
        <v>401</v>
      </c>
      <c r="D443" s="30" t="s">
        <v>138</v>
      </c>
      <c r="E443" s="12" t="s">
        <v>301</v>
      </c>
      <c r="F443" s="32" t="s">
        <v>535</v>
      </c>
      <c r="G443" s="11">
        <v>1</v>
      </c>
      <c r="H443" s="10" t="s">
        <v>511</v>
      </c>
      <c r="I443" s="14">
        <v>5800</v>
      </c>
    </row>
    <row r="444" spans="2:9">
      <c r="B444" s="9" t="s">
        <v>473</v>
      </c>
      <c r="C444" s="9" t="s">
        <v>401</v>
      </c>
      <c r="D444" s="30" t="s">
        <v>138</v>
      </c>
      <c r="E444" s="12" t="s">
        <v>301</v>
      </c>
      <c r="F444" s="32" t="s">
        <v>536</v>
      </c>
      <c r="G444" s="11">
        <v>1</v>
      </c>
      <c r="H444" s="10" t="s">
        <v>511</v>
      </c>
      <c r="I444" s="14">
        <v>5980</v>
      </c>
    </row>
    <row r="445" spans="2:9">
      <c r="B445" s="9" t="s">
        <v>473</v>
      </c>
      <c r="C445" s="9" t="s">
        <v>401</v>
      </c>
      <c r="D445" s="30" t="s">
        <v>138</v>
      </c>
      <c r="E445" s="12" t="s">
        <v>301</v>
      </c>
      <c r="F445" s="32" t="s">
        <v>537</v>
      </c>
      <c r="G445" s="11">
        <v>3</v>
      </c>
      <c r="H445" s="10" t="s">
        <v>294</v>
      </c>
      <c r="I445" s="14">
        <v>19800</v>
      </c>
    </row>
    <row r="446" spans="2:9">
      <c r="B446" s="9" t="s">
        <v>473</v>
      </c>
      <c r="C446" s="9" t="s">
        <v>401</v>
      </c>
      <c r="D446" s="30" t="s">
        <v>138</v>
      </c>
      <c r="E446" s="12" t="s">
        <v>301</v>
      </c>
      <c r="F446" s="11" t="s">
        <v>538</v>
      </c>
      <c r="G446" s="11">
        <v>6</v>
      </c>
      <c r="H446" s="12" t="s">
        <v>293</v>
      </c>
      <c r="I446" s="13">
        <v>39800</v>
      </c>
    </row>
    <row r="447" spans="2:9">
      <c r="B447" s="9" t="s">
        <v>473</v>
      </c>
      <c r="C447" s="9" t="s">
        <v>401</v>
      </c>
      <c r="D447" s="30" t="s">
        <v>138</v>
      </c>
      <c r="E447" s="12" t="s">
        <v>301</v>
      </c>
      <c r="F447" s="11" t="s">
        <v>538</v>
      </c>
      <c r="G447" s="11">
        <v>6</v>
      </c>
      <c r="H447" s="10" t="s">
        <v>294</v>
      </c>
      <c r="I447" s="14">
        <v>19800</v>
      </c>
    </row>
    <row r="448" spans="2:9">
      <c r="B448" s="9" t="s">
        <v>473</v>
      </c>
      <c r="C448" s="9" t="s">
        <v>401</v>
      </c>
      <c r="D448" s="30" t="s">
        <v>138</v>
      </c>
      <c r="E448" s="12" t="s">
        <v>301</v>
      </c>
      <c r="F448" s="11" t="s">
        <v>539</v>
      </c>
      <c r="G448" s="11">
        <v>8</v>
      </c>
      <c r="H448" s="12" t="s">
        <v>293</v>
      </c>
      <c r="I448" s="13">
        <v>59800</v>
      </c>
    </row>
    <row r="449" spans="2:9">
      <c r="B449" s="9" t="s">
        <v>473</v>
      </c>
      <c r="C449" s="9" t="s">
        <v>401</v>
      </c>
      <c r="D449" s="30" t="s">
        <v>138</v>
      </c>
      <c r="E449" s="12" t="s">
        <v>301</v>
      </c>
      <c r="F449" s="11" t="s">
        <v>539</v>
      </c>
      <c r="G449" s="11">
        <v>8</v>
      </c>
      <c r="H449" s="10" t="s">
        <v>294</v>
      </c>
      <c r="I449" s="14">
        <v>39800</v>
      </c>
    </row>
    <row r="450" spans="2:9">
      <c r="B450" s="9" t="s">
        <v>473</v>
      </c>
      <c r="C450" s="9" t="s">
        <v>401</v>
      </c>
      <c r="D450" s="30" t="s">
        <v>138</v>
      </c>
      <c r="E450" s="12" t="s">
        <v>301</v>
      </c>
      <c r="F450" s="11" t="s">
        <v>540</v>
      </c>
      <c r="G450" s="11">
        <v>3</v>
      </c>
      <c r="H450" s="12" t="s">
        <v>293</v>
      </c>
      <c r="I450" s="13">
        <v>46800</v>
      </c>
    </row>
    <row r="451" spans="2:9">
      <c r="B451" s="9" t="s">
        <v>473</v>
      </c>
      <c r="C451" s="9" t="s">
        <v>401</v>
      </c>
      <c r="D451" s="30" t="s">
        <v>138</v>
      </c>
      <c r="E451" s="12" t="s">
        <v>301</v>
      </c>
      <c r="F451" s="11" t="s">
        <v>540</v>
      </c>
      <c r="G451" s="11">
        <v>3</v>
      </c>
      <c r="H451" s="10" t="s">
        <v>294</v>
      </c>
      <c r="I451" s="14">
        <v>26800</v>
      </c>
    </row>
    <row r="452" spans="2:9">
      <c r="B452" s="9" t="s">
        <v>473</v>
      </c>
      <c r="C452" s="9" t="s">
        <v>401</v>
      </c>
      <c r="D452" s="30" t="s">
        <v>138</v>
      </c>
      <c r="E452" s="12" t="s">
        <v>301</v>
      </c>
      <c r="F452" s="11" t="s">
        <v>541</v>
      </c>
      <c r="G452" s="11">
        <v>3</v>
      </c>
      <c r="H452" s="12" t="s">
        <v>293</v>
      </c>
      <c r="I452" s="13">
        <v>59800</v>
      </c>
    </row>
    <row r="453" spans="2:9">
      <c r="B453" s="9" t="s">
        <v>473</v>
      </c>
      <c r="C453" s="9" t="s">
        <v>401</v>
      </c>
      <c r="D453" s="30" t="s">
        <v>138</v>
      </c>
      <c r="E453" s="12" t="s">
        <v>301</v>
      </c>
      <c r="F453" s="11" t="s">
        <v>541</v>
      </c>
      <c r="G453" s="11">
        <v>3</v>
      </c>
      <c r="H453" s="10" t="s">
        <v>294</v>
      </c>
      <c r="I453" s="14">
        <v>39800</v>
      </c>
    </row>
    <row r="454" spans="2:9">
      <c r="B454" s="9" t="s">
        <v>473</v>
      </c>
      <c r="C454" s="9" t="s">
        <v>401</v>
      </c>
      <c r="D454" s="30" t="s">
        <v>138</v>
      </c>
      <c r="E454" s="12" t="s">
        <v>301</v>
      </c>
      <c r="F454" s="11" t="s">
        <v>542</v>
      </c>
      <c r="G454" s="11">
        <v>3</v>
      </c>
      <c r="H454" s="12" t="s">
        <v>293</v>
      </c>
      <c r="I454" s="13">
        <v>79800</v>
      </c>
    </row>
    <row r="455" spans="2:9">
      <c r="B455" s="9" t="s">
        <v>473</v>
      </c>
      <c r="C455" s="9" t="s">
        <v>401</v>
      </c>
      <c r="D455" s="30" t="s">
        <v>138</v>
      </c>
      <c r="E455" s="12" t="s">
        <v>301</v>
      </c>
      <c r="F455" s="11" t="s">
        <v>542</v>
      </c>
      <c r="G455" s="11">
        <v>3</v>
      </c>
      <c r="H455" s="10" t="s">
        <v>294</v>
      </c>
      <c r="I455" s="14">
        <v>59800</v>
      </c>
    </row>
    <row r="456" spans="2:9">
      <c r="B456" s="9" t="s">
        <v>473</v>
      </c>
      <c r="C456" s="9" t="s">
        <v>401</v>
      </c>
      <c r="D456" s="30" t="s">
        <v>138</v>
      </c>
      <c r="E456" s="12" t="s">
        <v>301</v>
      </c>
      <c r="F456" s="11" t="s">
        <v>543</v>
      </c>
      <c r="G456" s="11">
        <v>6</v>
      </c>
      <c r="H456" s="12" t="s">
        <v>293</v>
      </c>
      <c r="I456" s="13">
        <v>59800</v>
      </c>
    </row>
    <row r="457" spans="2:9">
      <c r="B457" s="9" t="s">
        <v>473</v>
      </c>
      <c r="C457" s="9" t="s">
        <v>401</v>
      </c>
      <c r="D457" s="30" t="s">
        <v>138</v>
      </c>
      <c r="E457" s="12" t="s">
        <v>301</v>
      </c>
      <c r="F457" s="11" t="s">
        <v>543</v>
      </c>
      <c r="G457" s="11">
        <v>6</v>
      </c>
      <c r="H457" s="10" t="s">
        <v>294</v>
      </c>
      <c r="I457" s="14">
        <v>39800</v>
      </c>
    </row>
    <row r="458" spans="2:9">
      <c r="B458" s="9" t="s">
        <v>473</v>
      </c>
      <c r="C458" s="9" t="s">
        <v>401</v>
      </c>
      <c r="D458" s="30" t="s">
        <v>138</v>
      </c>
      <c r="E458" s="18" t="s">
        <v>301</v>
      </c>
      <c r="F458" s="16" t="s">
        <v>403</v>
      </c>
      <c r="G458" s="16">
        <v>14</v>
      </c>
      <c r="H458" s="16" t="s">
        <v>320</v>
      </c>
      <c r="I458" s="17">
        <v>9800</v>
      </c>
    </row>
    <row r="459" spans="2:9">
      <c r="B459" s="9" t="s">
        <v>473</v>
      </c>
      <c r="C459" s="9" t="s">
        <v>401</v>
      </c>
      <c r="D459" s="30" t="s">
        <v>138</v>
      </c>
      <c r="E459" s="18" t="s">
        <v>301</v>
      </c>
      <c r="F459" s="16" t="s">
        <v>544</v>
      </c>
      <c r="G459" s="16">
        <v>14</v>
      </c>
      <c r="H459" s="16" t="s">
        <v>320</v>
      </c>
      <c r="I459" s="17">
        <v>3680</v>
      </c>
    </row>
    <row r="460" spans="2:9">
      <c r="B460" s="9" t="s">
        <v>473</v>
      </c>
      <c r="C460" s="9" t="s">
        <v>401</v>
      </c>
      <c r="D460" s="30" t="s">
        <v>138</v>
      </c>
      <c r="E460" s="18" t="s">
        <v>301</v>
      </c>
      <c r="F460" s="16" t="s">
        <v>545</v>
      </c>
      <c r="G460" s="16">
        <v>14</v>
      </c>
      <c r="H460" s="16" t="s">
        <v>320</v>
      </c>
      <c r="I460" s="17">
        <v>2980</v>
      </c>
    </row>
    <row r="461" spans="2:9">
      <c r="B461" s="9" t="s">
        <v>473</v>
      </c>
      <c r="C461" s="9" t="s">
        <v>401</v>
      </c>
      <c r="D461" s="30" t="s">
        <v>138</v>
      </c>
      <c r="E461" s="18" t="s">
        <v>301</v>
      </c>
      <c r="F461" s="16" t="s">
        <v>409</v>
      </c>
      <c r="G461" s="16">
        <v>10</v>
      </c>
      <c r="H461" s="16" t="s">
        <v>320</v>
      </c>
      <c r="I461" s="17">
        <v>1680</v>
      </c>
    </row>
    <row r="462" spans="2:9">
      <c r="B462" s="9" t="s">
        <v>473</v>
      </c>
      <c r="C462" s="9" t="s">
        <v>401</v>
      </c>
      <c r="D462" s="30" t="s">
        <v>138</v>
      </c>
      <c r="E462" s="18" t="s">
        <v>301</v>
      </c>
      <c r="F462" s="16" t="s">
        <v>410</v>
      </c>
      <c r="G462" s="16">
        <v>8</v>
      </c>
      <c r="H462" s="16" t="s">
        <v>320</v>
      </c>
      <c r="I462" s="17">
        <v>3980</v>
      </c>
    </row>
    <row r="463" spans="2:9">
      <c r="B463" s="9" t="s">
        <v>473</v>
      </c>
      <c r="C463" s="9" t="s">
        <v>401</v>
      </c>
      <c r="D463" s="30" t="s">
        <v>138</v>
      </c>
      <c r="E463" s="18" t="s">
        <v>301</v>
      </c>
      <c r="F463" s="16" t="s">
        <v>546</v>
      </c>
      <c r="G463" s="16">
        <v>1</v>
      </c>
      <c r="H463" s="16" t="s">
        <v>320</v>
      </c>
      <c r="I463" s="17">
        <v>680</v>
      </c>
    </row>
    <row r="464" spans="2:9">
      <c r="B464" s="9" t="s">
        <v>473</v>
      </c>
      <c r="C464" s="9" t="s">
        <v>401</v>
      </c>
      <c r="D464" s="30" t="s">
        <v>138</v>
      </c>
      <c r="E464" s="18" t="s">
        <v>301</v>
      </c>
      <c r="F464" s="16" t="s">
        <v>547</v>
      </c>
      <c r="G464" s="16">
        <v>1</v>
      </c>
      <c r="H464" s="16" t="s">
        <v>320</v>
      </c>
      <c r="I464" s="17">
        <v>680</v>
      </c>
    </row>
    <row r="465" spans="2:9">
      <c r="B465" s="9" t="s">
        <v>473</v>
      </c>
      <c r="C465" s="9" t="s">
        <v>401</v>
      </c>
      <c r="D465" s="30" t="s">
        <v>138</v>
      </c>
      <c r="E465" s="18" t="s">
        <v>301</v>
      </c>
      <c r="F465" s="16" t="s">
        <v>548</v>
      </c>
      <c r="G465" s="16">
        <v>2</v>
      </c>
      <c r="H465" s="16" t="s">
        <v>320</v>
      </c>
      <c r="I465" s="17">
        <v>520</v>
      </c>
    </row>
    <row r="466" spans="2:9">
      <c r="B466" s="9" t="s">
        <v>549</v>
      </c>
      <c r="C466" s="9" t="s">
        <v>401</v>
      </c>
      <c r="D466" s="9" t="s">
        <v>139</v>
      </c>
      <c r="E466" s="33" t="s">
        <v>550</v>
      </c>
      <c r="F466" s="33" t="s">
        <v>551</v>
      </c>
      <c r="G466" s="33">
        <v>1</v>
      </c>
      <c r="H466" s="33"/>
      <c r="I466" s="34">
        <v>980</v>
      </c>
    </row>
    <row r="467" spans="2:9">
      <c r="B467" s="9" t="s">
        <v>549</v>
      </c>
      <c r="C467" s="9" t="s">
        <v>401</v>
      </c>
      <c r="D467" s="9" t="s">
        <v>139</v>
      </c>
      <c r="E467" s="33" t="s">
        <v>550</v>
      </c>
      <c r="F467" s="33" t="s">
        <v>552</v>
      </c>
      <c r="G467" s="33">
        <v>1</v>
      </c>
      <c r="H467" s="33"/>
      <c r="I467" s="34">
        <v>1980</v>
      </c>
    </row>
    <row r="468" spans="2:9">
      <c r="B468" s="9" t="s">
        <v>549</v>
      </c>
      <c r="C468" s="9" t="s">
        <v>401</v>
      </c>
      <c r="D468" s="9" t="s">
        <v>139</v>
      </c>
      <c r="E468" s="33" t="s">
        <v>550</v>
      </c>
      <c r="F468" s="33" t="s">
        <v>553</v>
      </c>
      <c r="G468" s="33">
        <v>1</v>
      </c>
      <c r="H468" s="33"/>
      <c r="I468" s="34">
        <v>6800</v>
      </c>
    </row>
    <row r="469" spans="2:9">
      <c r="B469" s="9" t="s">
        <v>549</v>
      </c>
      <c r="C469" s="9" t="s">
        <v>401</v>
      </c>
      <c r="D469" s="9" t="s">
        <v>139</v>
      </c>
      <c r="E469" s="33" t="s">
        <v>550</v>
      </c>
      <c r="F469" s="33" t="s">
        <v>554</v>
      </c>
      <c r="G469" s="33">
        <v>1</v>
      </c>
      <c r="H469" s="33"/>
      <c r="I469" s="34">
        <v>9800</v>
      </c>
    </row>
    <row r="470" spans="2:9">
      <c r="B470" s="9" t="s">
        <v>549</v>
      </c>
      <c r="C470" s="9" t="s">
        <v>401</v>
      </c>
      <c r="D470" s="9" t="s">
        <v>139</v>
      </c>
      <c r="E470" s="33" t="s">
        <v>555</v>
      </c>
      <c r="F470" s="9" t="s">
        <v>556</v>
      </c>
      <c r="G470" s="33">
        <v>1</v>
      </c>
      <c r="H470" s="33"/>
      <c r="I470" s="34">
        <v>19800</v>
      </c>
    </row>
    <row r="471" spans="2:9">
      <c r="B471" s="9" t="s">
        <v>549</v>
      </c>
      <c r="C471" s="9" t="s">
        <v>401</v>
      </c>
      <c r="D471" s="9" t="s">
        <v>139</v>
      </c>
      <c r="E471" s="33" t="s">
        <v>555</v>
      </c>
      <c r="F471" s="9" t="s">
        <v>557</v>
      </c>
      <c r="G471" s="33">
        <v>3</v>
      </c>
      <c r="H471" s="33"/>
      <c r="I471" s="34">
        <v>38000</v>
      </c>
    </row>
    <row r="472" spans="2:9">
      <c r="B472" s="9" t="s">
        <v>549</v>
      </c>
      <c r="C472" s="9" t="s">
        <v>401</v>
      </c>
      <c r="D472" s="9" t="s">
        <v>139</v>
      </c>
      <c r="E472" s="33" t="s">
        <v>555</v>
      </c>
      <c r="F472" s="9" t="s">
        <v>558</v>
      </c>
      <c r="G472" s="33">
        <v>1</v>
      </c>
      <c r="H472" s="33"/>
      <c r="I472" s="34">
        <v>29800</v>
      </c>
    </row>
    <row r="473" spans="2:9">
      <c r="B473" s="9" t="s">
        <v>549</v>
      </c>
      <c r="C473" s="9" t="s">
        <v>401</v>
      </c>
      <c r="D473" s="9" t="s">
        <v>139</v>
      </c>
      <c r="E473" s="33" t="s">
        <v>555</v>
      </c>
      <c r="F473" s="33" t="s">
        <v>559</v>
      </c>
      <c r="G473" s="33">
        <v>1</v>
      </c>
      <c r="H473" s="33"/>
      <c r="I473" s="34">
        <v>6980</v>
      </c>
    </row>
    <row r="474" spans="2:9">
      <c r="B474" s="9" t="s">
        <v>549</v>
      </c>
      <c r="C474" s="9" t="s">
        <v>401</v>
      </c>
      <c r="D474" s="9" t="s">
        <v>139</v>
      </c>
      <c r="E474" s="33" t="s">
        <v>555</v>
      </c>
      <c r="F474" s="33" t="s">
        <v>559</v>
      </c>
      <c r="G474" s="33">
        <v>3</v>
      </c>
      <c r="H474" s="33"/>
      <c r="I474" s="34">
        <v>14940</v>
      </c>
    </row>
    <row r="475" spans="2:9">
      <c r="B475" s="9" t="s">
        <v>549</v>
      </c>
      <c r="C475" s="9" t="s">
        <v>401</v>
      </c>
      <c r="D475" s="9" t="s">
        <v>139</v>
      </c>
      <c r="E475" s="33" t="s">
        <v>555</v>
      </c>
      <c r="F475" s="33" t="s">
        <v>560</v>
      </c>
      <c r="G475" s="33">
        <v>1</v>
      </c>
      <c r="H475" s="33"/>
      <c r="I475" s="34">
        <v>8980</v>
      </c>
    </row>
    <row r="476" spans="2:9">
      <c r="B476" s="9" t="s">
        <v>549</v>
      </c>
      <c r="C476" s="9" t="s">
        <v>401</v>
      </c>
      <c r="D476" s="9" t="s">
        <v>139</v>
      </c>
      <c r="E476" s="33" t="s">
        <v>555</v>
      </c>
      <c r="F476" s="33" t="s">
        <v>560</v>
      </c>
      <c r="G476" s="33">
        <v>3</v>
      </c>
      <c r="H476" s="33"/>
      <c r="I476" s="34">
        <v>20940</v>
      </c>
    </row>
    <row r="477" spans="2:9">
      <c r="B477" s="9" t="s">
        <v>549</v>
      </c>
      <c r="C477" s="9" t="s">
        <v>401</v>
      </c>
      <c r="D477" s="9" t="s">
        <v>139</v>
      </c>
      <c r="E477" s="33" t="s">
        <v>555</v>
      </c>
      <c r="F477" s="33" t="s">
        <v>561</v>
      </c>
      <c r="G477" s="33">
        <v>1</v>
      </c>
      <c r="H477" s="33"/>
      <c r="I477" s="34">
        <v>6800</v>
      </c>
    </row>
    <row r="478" spans="2:9">
      <c r="B478" s="9" t="s">
        <v>549</v>
      </c>
      <c r="C478" s="9" t="s">
        <v>401</v>
      </c>
      <c r="D478" s="9" t="s">
        <v>139</v>
      </c>
      <c r="E478" s="33" t="s">
        <v>555</v>
      </c>
      <c r="F478" s="33" t="s">
        <v>562</v>
      </c>
      <c r="G478" s="33">
        <v>3</v>
      </c>
      <c r="H478" s="33"/>
      <c r="I478" s="34">
        <v>29800</v>
      </c>
    </row>
    <row r="479" spans="2:9">
      <c r="B479" s="9" t="s">
        <v>549</v>
      </c>
      <c r="C479" s="9" t="s">
        <v>401</v>
      </c>
      <c r="D479" s="9" t="s">
        <v>139</v>
      </c>
      <c r="E479" s="33" t="s">
        <v>555</v>
      </c>
      <c r="F479" s="33" t="s">
        <v>563</v>
      </c>
      <c r="G479" s="33">
        <v>1</v>
      </c>
      <c r="H479" s="33"/>
      <c r="I479" s="34">
        <v>29800</v>
      </c>
    </row>
    <row r="480" spans="2:9">
      <c r="B480" s="9" t="s">
        <v>549</v>
      </c>
      <c r="C480" s="9" t="s">
        <v>401</v>
      </c>
      <c r="D480" s="9" t="s">
        <v>139</v>
      </c>
      <c r="E480" s="33" t="s">
        <v>555</v>
      </c>
      <c r="F480" s="33" t="s">
        <v>564</v>
      </c>
      <c r="G480" s="33">
        <v>1</v>
      </c>
      <c r="H480" s="33"/>
      <c r="I480" s="34">
        <v>9800</v>
      </c>
    </row>
    <row r="481" spans="2:9">
      <c r="B481" s="9" t="s">
        <v>549</v>
      </c>
      <c r="C481" s="9" t="s">
        <v>401</v>
      </c>
      <c r="D481" s="9" t="s">
        <v>139</v>
      </c>
      <c r="E481" s="33" t="s">
        <v>555</v>
      </c>
      <c r="F481" s="33" t="s">
        <v>565</v>
      </c>
      <c r="G481" s="33">
        <v>3</v>
      </c>
      <c r="H481" s="33"/>
      <c r="I481" s="34">
        <v>16800</v>
      </c>
    </row>
    <row r="482" spans="2:9">
      <c r="B482" s="9" t="s">
        <v>549</v>
      </c>
      <c r="C482" s="9" t="s">
        <v>401</v>
      </c>
      <c r="D482" s="9" t="s">
        <v>139</v>
      </c>
      <c r="E482" s="33" t="s">
        <v>555</v>
      </c>
      <c r="F482" s="33" t="s">
        <v>566</v>
      </c>
      <c r="G482" s="33">
        <v>1</v>
      </c>
      <c r="H482" s="33"/>
      <c r="I482" s="34">
        <v>8800</v>
      </c>
    </row>
    <row r="483" spans="2:9">
      <c r="B483" s="9" t="s">
        <v>549</v>
      </c>
      <c r="C483" s="9" t="s">
        <v>401</v>
      </c>
      <c r="D483" s="9" t="s">
        <v>139</v>
      </c>
      <c r="E483" s="33" t="s">
        <v>555</v>
      </c>
      <c r="F483" s="33" t="s">
        <v>566</v>
      </c>
      <c r="G483" s="33">
        <v>3</v>
      </c>
      <c r="H483" s="33"/>
      <c r="I483" s="34">
        <v>17940</v>
      </c>
    </row>
    <row r="484" spans="2:9">
      <c r="B484" s="9" t="s">
        <v>549</v>
      </c>
      <c r="C484" s="9" t="s">
        <v>401</v>
      </c>
      <c r="D484" s="9" t="s">
        <v>139</v>
      </c>
      <c r="E484" s="33" t="s">
        <v>555</v>
      </c>
      <c r="F484" s="33" t="s">
        <v>567</v>
      </c>
      <c r="G484" s="33">
        <v>1</v>
      </c>
      <c r="H484" s="33"/>
      <c r="I484" s="34">
        <v>9800</v>
      </c>
    </row>
    <row r="485" spans="2:9">
      <c r="B485" s="9" t="s">
        <v>549</v>
      </c>
      <c r="C485" s="9" t="s">
        <v>401</v>
      </c>
      <c r="D485" s="9" t="s">
        <v>139</v>
      </c>
      <c r="E485" s="33" t="s">
        <v>555</v>
      </c>
      <c r="F485" s="33" t="s">
        <v>568</v>
      </c>
      <c r="G485" s="33">
        <v>3</v>
      </c>
      <c r="H485" s="33"/>
      <c r="I485" s="34">
        <v>17940</v>
      </c>
    </row>
    <row r="486" spans="2:9">
      <c r="B486" s="9" t="s">
        <v>549</v>
      </c>
      <c r="C486" s="9" t="s">
        <v>401</v>
      </c>
      <c r="D486" s="9" t="s">
        <v>139</v>
      </c>
      <c r="E486" s="33" t="s">
        <v>555</v>
      </c>
      <c r="F486" s="33" t="s">
        <v>569</v>
      </c>
      <c r="G486" s="33">
        <v>6</v>
      </c>
      <c r="H486" s="33"/>
      <c r="I486" s="34">
        <v>19800</v>
      </c>
    </row>
    <row r="487" spans="2:9">
      <c r="B487" s="9" t="s">
        <v>549</v>
      </c>
      <c r="C487" s="9" t="s">
        <v>401</v>
      </c>
      <c r="D487" s="9" t="s">
        <v>139</v>
      </c>
      <c r="E487" s="33" t="s">
        <v>555</v>
      </c>
      <c r="F487" s="33" t="s">
        <v>570</v>
      </c>
      <c r="G487" s="33">
        <v>1</v>
      </c>
      <c r="H487" s="33"/>
      <c r="I487" s="34">
        <v>29800</v>
      </c>
    </row>
    <row r="488" spans="2:9">
      <c r="B488" s="9" t="s">
        <v>549</v>
      </c>
      <c r="C488" s="9" t="s">
        <v>401</v>
      </c>
      <c r="D488" s="9" t="s">
        <v>139</v>
      </c>
      <c r="E488" s="33" t="s">
        <v>555</v>
      </c>
      <c r="F488" s="33" t="s">
        <v>570</v>
      </c>
      <c r="G488" s="33">
        <v>3</v>
      </c>
      <c r="H488" s="33"/>
      <c r="I488" s="34">
        <v>59800</v>
      </c>
    </row>
    <row r="489" spans="2:9">
      <c r="B489" s="9" t="s">
        <v>549</v>
      </c>
      <c r="C489" s="9" t="s">
        <v>401</v>
      </c>
      <c r="D489" s="9" t="s">
        <v>139</v>
      </c>
      <c r="E489" s="33" t="s">
        <v>555</v>
      </c>
      <c r="F489" s="33" t="s">
        <v>571</v>
      </c>
      <c r="G489" s="33">
        <v>1</v>
      </c>
      <c r="H489" s="33"/>
      <c r="I489" s="34">
        <v>29800</v>
      </c>
    </row>
    <row r="490" spans="2:9">
      <c r="B490" s="9" t="s">
        <v>549</v>
      </c>
      <c r="C490" s="9" t="s">
        <v>401</v>
      </c>
      <c r="D490" s="9" t="s">
        <v>139</v>
      </c>
      <c r="E490" s="33" t="s">
        <v>555</v>
      </c>
      <c r="F490" s="33" t="s">
        <v>571</v>
      </c>
      <c r="G490" s="33">
        <v>3</v>
      </c>
      <c r="H490" s="33"/>
      <c r="I490" s="34">
        <v>59800</v>
      </c>
    </row>
    <row r="491" spans="2:9">
      <c r="B491" s="9" t="s">
        <v>549</v>
      </c>
      <c r="C491" s="9" t="s">
        <v>401</v>
      </c>
      <c r="D491" s="9" t="s">
        <v>139</v>
      </c>
      <c r="E491" s="33" t="s">
        <v>555</v>
      </c>
      <c r="F491" s="33" t="s">
        <v>572</v>
      </c>
      <c r="G491" s="33">
        <v>1</v>
      </c>
      <c r="H491" s="33"/>
      <c r="I491" s="34">
        <v>29800</v>
      </c>
    </row>
    <row r="492" spans="2:9">
      <c r="B492" s="9" t="s">
        <v>549</v>
      </c>
      <c r="C492" s="9" t="s">
        <v>401</v>
      </c>
      <c r="D492" s="9" t="s">
        <v>139</v>
      </c>
      <c r="E492" s="33" t="s">
        <v>555</v>
      </c>
      <c r="F492" s="33" t="s">
        <v>573</v>
      </c>
      <c r="G492" s="33">
        <v>1</v>
      </c>
      <c r="H492" s="33"/>
      <c r="I492" s="34">
        <v>39800</v>
      </c>
    </row>
    <row r="493" spans="2:9">
      <c r="B493" s="9" t="s">
        <v>549</v>
      </c>
      <c r="C493" s="9" t="s">
        <v>401</v>
      </c>
      <c r="D493" s="9" t="s">
        <v>139</v>
      </c>
      <c r="E493" s="33" t="s">
        <v>555</v>
      </c>
      <c r="F493" s="33" t="s">
        <v>574</v>
      </c>
      <c r="G493" s="33">
        <v>1</v>
      </c>
      <c r="H493" s="33"/>
      <c r="I493" s="34">
        <v>29800</v>
      </c>
    </row>
    <row r="494" spans="2:9">
      <c r="B494" s="9" t="s">
        <v>549</v>
      </c>
      <c r="C494" s="9" t="s">
        <v>401</v>
      </c>
      <c r="D494" s="9" t="s">
        <v>139</v>
      </c>
      <c r="E494" s="33" t="s">
        <v>555</v>
      </c>
      <c r="F494" s="33" t="s">
        <v>575</v>
      </c>
      <c r="G494" s="33">
        <v>1</v>
      </c>
      <c r="H494" s="33"/>
      <c r="I494" s="34">
        <v>16800</v>
      </c>
    </row>
    <row r="495" spans="2:9">
      <c r="B495" s="9" t="s">
        <v>549</v>
      </c>
      <c r="C495" s="9" t="s">
        <v>401</v>
      </c>
      <c r="D495" s="9" t="s">
        <v>139</v>
      </c>
      <c r="E495" s="33" t="s">
        <v>555</v>
      </c>
      <c r="F495" s="33" t="s">
        <v>575</v>
      </c>
      <c r="G495" s="33">
        <v>3</v>
      </c>
      <c r="H495" s="33"/>
      <c r="I495" s="34">
        <v>29800</v>
      </c>
    </row>
    <row r="496" spans="2:9">
      <c r="B496" s="9" t="s">
        <v>549</v>
      </c>
      <c r="C496" s="9" t="s">
        <v>401</v>
      </c>
      <c r="D496" s="9" t="s">
        <v>139</v>
      </c>
      <c r="E496" s="33" t="s">
        <v>555</v>
      </c>
      <c r="F496" s="33" t="s">
        <v>576</v>
      </c>
      <c r="G496" s="33">
        <v>6</v>
      </c>
      <c r="H496" s="33"/>
      <c r="I496" s="34">
        <v>39800</v>
      </c>
    </row>
    <row r="497" spans="2:9">
      <c r="B497" s="9" t="s">
        <v>549</v>
      </c>
      <c r="C497" s="9" t="s">
        <v>401</v>
      </c>
      <c r="D497" s="9" t="s">
        <v>139</v>
      </c>
      <c r="E497" s="33" t="s">
        <v>555</v>
      </c>
      <c r="F497" s="33" t="s">
        <v>577</v>
      </c>
      <c r="G497" s="33">
        <v>12</v>
      </c>
      <c r="H497" s="33"/>
      <c r="I497" s="34">
        <v>68000</v>
      </c>
    </row>
    <row r="498" spans="2:9">
      <c r="B498" s="9" t="s">
        <v>549</v>
      </c>
      <c r="C498" s="9" t="s">
        <v>401</v>
      </c>
      <c r="D498" s="9" t="s">
        <v>139</v>
      </c>
      <c r="E498" s="33" t="s">
        <v>555</v>
      </c>
      <c r="F498" s="33" t="s">
        <v>578</v>
      </c>
      <c r="G498" s="33">
        <v>12</v>
      </c>
      <c r="H498" s="33"/>
      <c r="I498" s="34">
        <v>68000</v>
      </c>
    </row>
    <row r="499" spans="2:9">
      <c r="B499" s="9" t="s">
        <v>549</v>
      </c>
      <c r="C499" s="9" t="s">
        <v>401</v>
      </c>
      <c r="D499" s="9" t="s">
        <v>139</v>
      </c>
      <c r="E499" s="33" t="s">
        <v>555</v>
      </c>
      <c r="F499" s="33" t="s">
        <v>579</v>
      </c>
      <c r="G499" s="33">
        <v>12</v>
      </c>
      <c r="H499" s="33"/>
      <c r="I499" s="34">
        <v>98000</v>
      </c>
    </row>
    <row r="500" spans="2:9">
      <c r="B500" s="9" t="s">
        <v>549</v>
      </c>
      <c r="C500" s="9" t="s">
        <v>401</v>
      </c>
      <c r="D500" s="9" t="s">
        <v>139</v>
      </c>
      <c r="E500" s="33" t="s">
        <v>555</v>
      </c>
      <c r="F500" s="33" t="s">
        <v>580</v>
      </c>
      <c r="G500" s="33">
        <v>1</v>
      </c>
      <c r="H500" s="33"/>
      <c r="I500" s="34">
        <v>39800</v>
      </c>
    </row>
    <row r="501" spans="2:9">
      <c r="B501" s="9" t="s">
        <v>549</v>
      </c>
      <c r="C501" s="9" t="s">
        <v>401</v>
      </c>
      <c r="D501" s="9" t="s">
        <v>139</v>
      </c>
      <c r="E501" s="33" t="s">
        <v>555</v>
      </c>
      <c r="F501" s="33" t="s">
        <v>581</v>
      </c>
      <c r="G501" s="33">
        <v>1</v>
      </c>
      <c r="H501" s="33"/>
      <c r="I501" s="34">
        <v>49800</v>
      </c>
    </row>
    <row r="502" spans="2:9">
      <c r="B502" s="9" t="s">
        <v>549</v>
      </c>
      <c r="C502" s="9" t="s">
        <v>401</v>
      </c>
      <c r="D502" s="9" t="s">
        <v>139</v>
      </c>
      <c r="E502" s="33" t="s">
        <v>555</v>
      </c>
      <c r="F502" s="33" t="s">
        <v>582</v>
      </c>
      <c r="G502" s="33">
        <v>1</v>
      </c>
      <c r="H502" s="33"/>
      <c r="I502" s="34">
        <v>88000</v>
      </c>
    </row>
    <row r="503" spans="2:9">
      <c r="B503" s="9" t="s">
        <v>549</v>
      </c>
      <c r="C503" s="9" t="s">
        <v>401</v>
      </c>
      <c r="D503" s="9" t="s">
        <v>139</v>
      </c>
      <c r="E503" s="33" t="s">
        <v>555</v>
      </c>
      <c r="F503" s="33" t="s">
        <v>583</v>
      </c>
      <c r="G503" s="33">
        <v>1</v>
      </c>
      <c r="H503" s="33"/>
      <c r="I503" s="34">
        <v>49800</v>
      </c>
    </row>
    <row r="504" spans="2:9">
      <c r="B504" s="9" t="s">
        <v>549</v>
      </c>
      <c r="C504" s="9" t="s">
        <v>401</v>
      </c>
      <c r="D504" s="9" t="s">
        <v>139</v>
      </c>
      <c r="E504" s="33" t="s">
        <v>555</v>
      </c>
      <c r="F504" s="33" t="s">
        <v>584</v>
      </c>
      <c r="G504" s="33">
        <v>1</v>
      </c>
      <c r="H504" s="33"/>
      <c r="I504" s="34">
        <v>59800</v>
      </c>
    </row>
    <row r="505" spans="2:9">
      <c r="B505" s="9" t="s">
        <v>549</v>
      </c>
      <c r="C505" s="9" t="s">
        <v>401</v>
      </c>
      <c r="D505" s="9" t="s">
        <v>139</v>
      </c>
      <c r="E505" s="33" t="s">
        <v>555</v>
      </c>
      <c r="F505" s="33" t="s">
        <v>585</v>
      </c>
      <c r="G505" s="33">
        <v>1</v>
      </c>
      <c r="H505" s="33"/>
      <c r="I505" s="34">
        <v>98000</v>
      </c>
    </row>
    <row r="506" spans="2:9">
      <c r="B506" s="9" t="s">
        <v>549</v>
      </c>
      <c r="C506" s="9" t="s">
        <v>401</v>
      </c>
      <c r="D506" s="9" t="s">
        <v>139</v>
      </c>
      <c r="E506" s="33" t="s">
        <v>586</v>
      </c>
      <c r="F506" s="33" t="s">
        <v>587</v>
      </c>
      <c r="G506" s="33">
        <v>1</v>
      </c>
      <c r="H506" s="33"/>
      <c r="I506" s="34">
        <v>19800</v>
      </c>
    </row>
    <row r="507" spans="2:9">
      <c r="B507" s="9" t="s">
        <v>549</v>
      </c>
      <c r="C507" s="9" t="s">
        <v>401</v>
      </c>
      <c r="D507" s="9" t="s">
        <v>139</v>
      </c>
      <c r="E507" s="33" t="s">
        <v>586</v>
      </c>
      <c r="F507" s="33" t="s">
        <v>588</v>
      </c>
      <c r="G507" s="33">
        <v>1</v>
      </c>
      <c r="H507" s="33"/>
      <c r="I507" s="34">
        <v>9800</v>
      </c>
    </row>
    <row r="508" spans="2:9">
      <c r="B508" s="9" t="s">
        <v>549</v>
      </c>
      <c r="C508" s="9" t="s">
        <v>401</v>
      </c>
      <c r="D508" s="9" t="s">
        <v>139</v>
      </c>
      <c r="E508" s="33" t="s">
        <v>586</v>
      </c>
      <c r="F508" s="33" t="s">
        <v>589</v>
      </c>
      <c r="G508" s="33">
        <v>1</v>
      </c>
      <c r="H508" s="33"/>
      <c r="I508" s="34">
        <v>59800</v>
      </c>
    </row>
    <row r="509" spans="2:9">
      <c r="B509" s="9" t="s">
        <v>549</v>
      </c>
      <c r="C509" s="9" t="s">
        <v>401</v>
      </c>
      <c r="D509" s="9" t="s">
        <v>139</v>
      </c>
      <c r="E509" s="33" t="s">
        <v>586</v>
      </c>
      <c r="F509" s="33" t="s">
        <v>590</v>
      </c>
      <c r="G509" s="33">
        <v>1</v>
      </c>
      <c r="H509" s="33"/>
      <c r="I509" s="34">
        <v>9800</v>
      </c>
    </row>
    <row r="510" spans="2:9">
      <c r="B510" s="9" t="s">
        <v>549</v>
      </c>
      <c r="C510" s="9" t="s">
        <v>401</v>
      </c>
      <c r="D510" s="9" t="s">
        <v>139</v>
      </c>
      <c r="E510" s="33" t="s">
        <v>586</v>
      </c>
      <c r="F510" s="33" t="s">
        <v>591</v>
      </c>
      <c r="G510" s="33">
        <v>1</v>
      </c>
      <c r="H510" s="33"/>
      <c r="I510" s="34">
        <v>1980</v>
      </c>
    </row>
    <row r="511" spans="2:9">
      <c r="B511" s="9" t="s">
        <v>549</v>
      </c>
      <c r="C511" s="9" t="s">
        <v>401</v>
      </c>
      <c r="D511" s="9" t="s">
        <v>139</v>
      </c>
      <c r="E511" s="33" t="s">
        <v>586</v>
      </c>
      <c r="F511" s="33" t="s">
        <v>592</v>
      </c>
      <c r="G511" s="33">
        <v>1</v>
      </c>
      <c r="H511" s="33"/>
      <c r="I511" s="34">
        <v>39800</v>
      </c>
    </row>
    <row r="512" spans="2:9">
      <c r="B512" s="9" t="s">
        <v>549</v>
      </c>
      <c r="C512" s="9" t="s">
        <v>401</v>
      </c>
      <c r="D512" s="9" t="s">
        <v>139</v>
      </c>
      <c r="E512" s="33" t="s">
        <v>586</v>
      </c>
      <c r="F512" s="33" t="s">
        <v>593</v>
      </c>
      <c r="G512" s="33">
        <v>1</v>
      </c>
      <c r="H512" s="33"/>
      <c r="I512" s="34">
        <v>39800</v>
      </c>
    </row>
    <row r="513" spans="2:9">
      <c r="B513" s="9" t="s">
        <v>549</v>
      </c>
      <c r="C513" s="9" t="s">
        <v>401</v>
      </c>
      <c r="D513" s="9" t="s">
        <v>139</v>
      </c>
      <c r="E513" s="33" t="s">
        <v>586</v>
      </c>
      <c r="F513" s="33" t="s">
        <v>594</v>
      </c>
      <c r="G513" s="33">
        <v>1</v>
      </c>
      <c r="H513" s="33"/>
      <c r="I513" s="34">
        <v>98000</v>
      </c>
    </row>
    <row r="514" spans="2:9">
      <c r="B514" s="9" t="s">
        <v>549</v>
      </c>
      <c r="C514" s="9" t="s">
        <v>401</v>
      </c>
      <c r="D514" s="9" t="s">
        <v>139</v>
      </c>
      <c r="E514" s="33" t="s">
        <v>586</v>
      </c>
      <c r="F514" s="33" t="s">
        <v>595</v>
      </c>
      <c r="G514" s="33">
        <v>1</v>
      </c>
      <c r="H514" s="33"/>
      <c r="I514" s="34">
        <v>39800</v>
      </c>
    </row>
    <row r="515" spans="2:9">
      <c r="B515" s="9" t="s">
        <v>549</v>
      </c>
      <c r="C515" s="9" t="s">
        <v>401</v>
      </c>
      <c r="D515" s="9" t="s">
        <v>139</v>
      </c>
      <c r="E515" s="33" t="s">
        <v>586</v>
      </c>
      <c r="F515" s="33" t="s">
        <v>596</v>
      </c>
      <c r="G515" s="33">
        <v>1</v>
      </c>
      <c r="H515" s="33"/>
      <c r="I515" s="34">
        <v>98000</v>
      </c>
    </row>
    <row r="516" spans="2:9">
      <c r="B516" s="9" t="s">
        <v>549</v>
      </c>
      <c r="C516" s="9" t="s">
        <v>401</v>
      </c>
      <c r="D516" s="9" t="s">
        <v>139</v>
      </c>
      <c r="E516" s="33" t="s">
        <v>586</v>
      </c>
      <c r="F516" s="33" t="s">
        <v>597</v>
      </c>
      <c r="G516" s="33">
        <v>1</v>
      </c>
      <c r="H516" s="33"/>
      <c r="I516" s="34">
        <v>29800</v>
      </c>
    </row>
    <row r="517" spans="2:9">
      <c r="B517" s="9" t="s">
        <v>549</v>
      </c>
      <c r="C517" s="9" t="s">
        <v>401</v>
      </c>
      <c r="D517" s="9" t="s">
        <v>139</v>
      </c>
      <c r="E517" s="33" t="s">
        <v>586</v>
      </c>
      <c r="F517" s="33" t="s">
        <v>598</v>
      </c>
      <c r="G517" s="33">
        <v>1</v>
      </c>
      <c r="H517" s="33"/>
      <c r="I517" s="34">
        <v>68000</v>
      </c>
    </row>
    <row r="518" spans="2:9">
      <c r="B518" s="9" t="s">
        <v>549</v>
      </c>
      <c r="C518" s="9" t="s">
        <v>401</v>
      </c>
      <c r="D518" s="9" t="s">
        <v>139</v>
      </c>
      <c r="E518" s="33" t="s">
        <v>586</v>
      </c>
      <c r="F518" s="33" t="s">
        <v>599</v>
      </c>
      <c r="G518" s="33">
        <v>1</v>
      </c>
      <c r="H518" s="33"/>
      <c r="I518" s="34">
        <v>98000</v>
      </c>
    </row>
    <row r="519" spans="2:9">
      <c r="B519" s="9" t="s">
        <v>549</v>
      </c>
      <c r="C519" s="9" t="s">
        <v>401</v>
      </c>
      <c r="D519" s="9" t="s">
        <v>139</v>
      </c>
      <c r="E519" s="33" t="s">
        <v>586</v>
      </c>
      <c r="F519" s="33" t="s">
        <v>600</v>
      </c>
      <c r="G519" s="33">
        <v>1</v>
      </c>
      <c r="H519" s="33"/>
      <c r="I519" s="34">
        <v>168000</v>
      </c>
    </row>
    <row r="520" spans="2:9">
      <c r="B520" s="9" t="s">
        <v>549</v>
      </c>
      <c r="C520" s="9" t="s">
        <v>401</v>
      </c>
      <c r="D520" s="9" t="s">
        <v>139</v>
      </c>
      <c r="E520" s="33" t="s">
        <v>586</v>
      </c>
      <c r="F520" s="33" t="s">
        <v>601</v>
      </c>
      <c r="G520" s="33">
        <v>1</v>
      </c>
      <c r="H520" s="33"/>
      <c r="I520" s="34">
        <v>298000</v>
      </c>
    </row>
    <row r="521" spans="2:9">
      <c r="B521" s="9" t="s">
        <v>549</v>
      </c>
      <c r="C521" s="9" t="s">
        <v>401</v>
      </c>
      <c r="D521" s="9" t="s">
        <v>139</v>
      </c>
      <c r="E521" s="33" t="s">
        <v>586</v>
      </c>
      <c r="F521" s="33" t="s">
        <v>602</v>
      </c>
      <c r="G521" s="33">
        <v>1</v>
      </c>
      <c r="H521" s="33"/>
      <c r="I521" s="34">
        <v>59800</v>
      </c>
    </row>
    <row r="522" spans="2:9">
      <c r="B522" s="9" t="s">
        <v>549</v>
      </c>
      <c r="C522" s="9" t="s">
        <v>401</v>
      </c>
      <c r="D522" s="9" t="s">
        <v>139</v>
      </c>
      <c r="E522" s="33" t="s">
        <v>586</v>
      </c>
      <c r="F522" s="33" t="s">
        <v>603</v>
      </c>
      <c r="G522" s="33">
        <v>1</v>
      </c>
      <c r="H522" s="33"/>
      <c r="I522" s="34">
        <v>59800</v>
      </c>
    </row>
    <row r="523" spans="2:9">
      <c r="B523" s="9" t="s">
        <v>549</v>
      </c>
      <c r="C523" s="9" t="s">
        <v>401</v>
      </c>
      <c r="D523" s="9" t="s">
        <v>139</v>
      </c>
      <c r="E523" s="33" t="s">
        <v>586</v>
      </c>
      <c r="F523" s="33" t="s">
        <v>604</v>
      </c>
      <c r="G523" s="33">
        <v>1</v>
      </c>
      <c r="H523" s="33"/>
      <c r="I523" s="34">
        <v>59800</v>
      </c>
    </row>
    <row r="524" spans="2:9">
      <c r="B524" s="9" t="s">
        <v>549</v>
      </c>
      <c r="C524" s="9" t="s">
        <v>401</v>
      </c>
      <c r="D524" s="9" t="s">
        <v>139</v>
      </c>
      <c r="E524" s="33" t="s">
        <v>586</v>
      </c>
      <c r="F524" s="33" t="s">
        <v>605</v>
      </c>
      <c r="G524" s="33">
        <v>1</v>
      </c>
      <c r="H524" s="33"/>
      <c r="I524" s="34">
        <v>59800</v>
      </c>
    </row>
    <row r="525" spans="2:9">
      <c r="B525" s="9" t="s">
        <v>549</v>
      </c>
      <c r="C525" s="9" t="s">
        <v>401</v>
      </c>
      <c r="D525" s="9" t="s">
        <v>139</v>
      </c>
      <c r="E525" s="33" t="s">
        <v>586</v>
      </c>
      <c r="F525" s="33" t="s">
        <v>606</v>
      </c>
      <c r="G525" s="33">
        <v>1</v>
      </c>
      <c r="H525" s="33"/>
      <c r="I525" s="34">
        <v>59800</v>
      </c>
    </row>
    <row r="526" spans="2:9">
      <c r="B526" s="9" t="s">
        <v>549</v>
      </c>
      <c r="C526" s="9" t="s">
        <v>401</v>
      </c>
      <c r="D526" s="9" t="s">
        <v>139</v>
      </c>
      <c r="E526" s="33" t="s">
        <v>586</v>
      </c>
      <c r="F526" s="33" t="s">
        <v>607</v>
      </c>
      <c r="G526" s="33">
        <v>1</v>
      </c>
      <c r="H526" s="33"/>
      <c r="I526" s="34">
        <v>59800</v>
      </c>
    </row>
    <row r="527" spans="2:9">
      <c r="B527" s="9" t="s">
        <v>549</v>
      </c>
      <c r="C527" s="9" t="s">
        <v>401</v>
      </c>
      <c r="D527" s="9" t="s">
        <v>139</v>
      </c>
      <c r="E527" s="33" t="s">
        <v>586</v>
      </c>
      <c r="F527" s="33" t="s">
        <v>608</v>
      </c>
      <c r="G527" s="33">
        <v>1</v>
      </c>
      <c r="H527" s="33"/>
      <c r="I527" s="34">
        <v>59800</v>
      </c>
    </row>
    <row r="528" spans="2:9">
      <c r="B528" s="9" t="s">
        <v>549</v>
      </c>
      <c r="C528" s="9" t="s">
        <v>401</v>
      </c>
      <c r="D528" s="9" t="s">
        <v>139</v>
      </c>
      <c r="E528" s="33" t="s">
        <v>586</v>
      </c>
      <c r="F528" s="33" t="s">
        <v>609</v>
      </c>
      <c r="G528" s="33">
        <v>1</v>
      </c>
      <c r="H528" s="33"/>
      <c r="I528" s="34">
        <v>59800</v>
      </c>
    </row>
    <row r="529" spans="2:9">
      <c r="B529" s="9" t="s">
        <v>549</v>
      </c>
      <c r="C529" s="9" t="s">
        <v>401</v>
      </c>
      <c r="D529" s="9" t="s">
        <v>139</v>
      </c>
      <c r="E529" s="33" t="s">
        <v>586</v>
      </c>
      <c r="F529" s="33" t="s">
        <v>610</v>
      </c>
      <c r="G529" s="33">
        <v>1</v>
      </c>
      <c r="H529" s="33"/>
      <c r="I529" s="34">
        <v>59800</v>
      </c>
    </row>
    <row r="530" spans="2:9">
      <c r="B530" s="9" t="s">
        <v>549</v>
      </c>
      <c r="C530" s="9" t="s">
        <v>401</v>
      </c>
      <c r="D530" s="9" t="s">
        <v>139</v>
      </c>
      <c r="E530" s="33" t="s">
        <v>586</v>
      </c>
      <c r="F530" s="33" t="s">
        <v>611</v>
      </c>
      <c r="G530" s="33">
        <v>1</v>
      </c>
      <c r="H530" s="33"/>
      <c r="I530" s="34">
        <v>9800</v>
      </c>
    </row>
    <row r="531" spans="2:9">
      <c r="B531" s="9" t="s">
        <v>549</v>
      </c>
      <c r="C531" s="9" t="s">
        <v>401</v>
      </c>
      <c r="D531" s="9" t="s">
        <v>139</v>
      </c>
      <c r="E531" s="33" t="s">
        <v>586</v>
      </c>
      <c r="F531" s="33" t="s">
        <v>612</v>
      </c>
      <c r="G531" s="33">
        <v>1</v>
      </c>
      <c r="H531" s="33"/>
      <c r="I531" s="34">
        <v>29800</v>
      </c>
    </row>
    <row r="532" spans="2:9">
      <c r="B532" s="9" t="s">
        <v>549</v>
      </c>
      <c r="C532" s="9" t="s">
        <v>401</v>
      </c>
      <c r="D532" s="9" t="s">
        <v>139</v>
      </c>
      <c r="E532" s="33" t="s">
        <v>586</v>
      </c>
      <c r="F532" s="33" t="s">
        <v>613</v>
      </c>
      <c r="G532" s="33">
        <v>1</v>
      </c>
      <c r="H532" s="33"/>
      <c r="I532" s="34">
        <v>19800</v>
      </c>
    </row>
    <row r="533" spans="2:9">
      <c r="B533" s="9" t="s">
        <v>549</v>
      </c>
      <c r="C533" s="9" t="s">
        <v>401</v>
      </c>
      <c r="D533" s="9" t="s">
        <v>139</v>
      </c>
      <c r="E533" s="33" t="s">
        <v>586</v>
      </c>
      <c r="F533" s="33" t="s">
        <v>614</v>
      </c>
      <c r="G533" s="33">
        <v>1</v>
      </c>
      <c r="H533" s="33"/>
      <c r="I533" s="34">
        <v>29800</v>
      </c>
    </row>
    <row r="534" spans="2:9">
      <c r="B534" s="9" t="s">
        <v>549</v>
      </c>
      <c r="C534" s="9" t="s">
        <v>401</v>
      </c>
      <c r="D534" s="9" t="s">
        <v>139</v>
      </c>
      <c r="E534" s="33" t="s">
        <v>586</v>
      </c>
      <c r="F534" s="33" t="s">
        <v>615</v>
      </c>
      <c r="G534" s="33">
        <v>1</v>
      </c>
      <c r="H534" s="33"/>
      <c r="I534" s="34">
        <v>19800</v>
      </c>
    </row>
    <row r="535" spans="2:9">
      <c r="B535" s="9" t="s">
        <v>549</v>
      </c>
      <c r="C535" s="9" t="s">
        <v>401</v>
      </c>
      <c r="D535" s="9" t="s">
        <v>139</v>
      </c>
      <c r="E535" s="33" t="s">
        <v>586</v>
      </c>
      <c r="F535" s="33" t="s">
        <v>616</v>
      </c>
      <c r="G535" s="33">
        <v>1</v>
      </c>
      <c r="H535" s="33"/>
      <c r="I535" s="34">
        <v>39800</v>
      </c>
    </row>
    <row r="536" spans="2:9">
      <c r="B536" s="9" t="s">
        <v>549</v>
      </c>
      <c r="C536" s="9" t="s">
        <v>401</v>
      </c>
      <c r="D536" s="9" t="s">
        <v>139</v>
      </c>
      <c r="E536" s="33" t="s">
        <v>586</v>
      </c>
      <c r="F536" s="33" t="s">
        <v>617</v>
      </c>
      <c r="G536" s="33">
        <v>1</v>
      </c>
      <c r="H536" s="33"/>
      <c r="I536" s="34">
        <v>128000</v>
      </c>
    </row>
    <row r="537" spans="2:9">
      <c r="B537" s="9" t="s">
        <v>549</v>
      </c>
      <c r="C537" s="9" t="s">
        <v>401</v>
      </c>
      <c r="D537" s="9" t="s">
        <v>139</v>
      </c>
      <c r="E537" s="33" t="s">
        <v>586</v>
      </c>
      <c r="F537" s="33" t="s">
        <v>618</v>
      </c>
      <c r="G537" s="33">
        <v>1</v>
      </c>
      <c r="H537" s="33"/>
      <c r="I537" s="34">
        <v>49800</v>
      </c>
    </row>
    <row r="538" spans="2:9">
      <c r="B538" s="9" t="s">
        <v>549</v>
      </c>
      <c r="C538" s="9" t="s">
        <v>401</v>
      </c>
      <c r="D538" s="9" t="s">
        <v>139</v>
      </c>
      <c r="E538" s="33" t="s">
        <v>586</v>
      </c>
      <c r="F538" s="33" t="s">
        <v>619</v>
      </c>
      <c r="G538" s="33">
        <v>1</v>
      </c>
      <c r="H538" s="33"/>
      <c r="I538" s="34">
        <v>64800</v>
      </c>
    </row>
    <row r="539" spans="2:9">
      <c r="B539" s="9" t="s">
        <v>549</v>
      </c>
      <c r="C539" s="9" t="s">
        <v>401</v>
      </c>
      <c r="D539" s="9" t="s">
        <v>139</v>
      </c>
      <c r="E539" s="33" t="s">
        <v>586</v>
      </c>
      <c r="F539" s="33" t="s">
        <v>620</v>
      </c>
      <c r="G539" s="33">
        <v>1</v>
      </c>
      <c r="H539" s="33"/>
      <c r="I539" s="34">
        <v>49800</v>
      </c>
    </row>
    <row r="540" spans="2:9">
      <c r="B540" s="9" t="s">
        <v>549</v>
      </c>
      <c r="C540" s="9" t="s">
        <v>401</v>
      </c>
      <c r="D540" s="9" t="s">
        <v>139</v>
      </c>
      <c r="E540" s="33" t="s">
        <v>586</v>
      </c>
      <c r="F540" s="33" t="s">
        <v>621</v>
      </c>
      <c r="G540" s="33">
        <v>1</v>
      </c>
      <c r="H540" s="33"/>
      <c r="I540" s="34">
        <v>69800</v>
      </c>
    </row>
    <row r="541" spans="2:9">
      <c r="B541" s="9" t="s">
        <v>549</v>
      </c>
      <c r="C541" s="9" t="s">
        <v>401</v>
      </c>
      <c r="D541" s="9" t="s">
        <v>139</v>
      </c>
      <c r="E541" s="33" t="s">
        <v>586</v>
      </c>
      <c r="F541" s="33" t="s">
        <v>622</v>
      </c>
      <c r="G541" s="33">
        <v>1</v>
      </c>
      <c r="H541" s="33"/>
      <c r="I541" s="34">
        <v>98000</v>
      </c>
    </row>
    <row r="542" spans="2:9">
      <c r="B542" s="9" t="s">
        <v>549</v>
      </c>
      <c r="C542" s="9" t="s">
        <v>401</v>
      </c>
      <c r="D542" s="9" t="s">
        <v>139</v>
      </c>
      <c r="E542" s="33" t="s">
        <v>586</v>
      </c>
      <c r="F542" s="33" t="s">
        <v>623</v>
      </c>
      <c r="G542" s="33">
        <v>1</v>
      </c>
      <c r="H542" s="33"/>
      <c r="I542" s="34">
        <v>198000</v>
      </c>
    </row>
    <row r="543" spans="2:9">
      <c r="B543" s="9" t="s">
        <v>549</v>
      </c>
      <c r="C543" s="9" t="s">
        <v>401</v>
      </c>
      <c r="D543" s="9" t="s">
        <v>139</v>
      </c>
      <c r="E543" s="33" t="s">
        <v>586</v>
      </c>
      <c r="F543" s="33" t="s">
        <v>624</v>
      </c>
      <c r="G543" s="33">
        <v>1</v>
      </c>
      <c r="H543" s="33"/>
      <c r="I543" s="34">
        <v>398000</v>
      </c>
    </row>
    <row r="544" spans="2:9">
      <c r="B544" s="9" t="s">
        <v>549</v>
      </c>
      <c r="C544" s="9" t="s">
        <v>401</v>
      </c>
      <c r="D544" s="9" t="s">
        <v>139</v>
      </c>
      <c r="E544" s="33" t="s">
        <v>586</v>
      </c>
      <c r="F544" s="33" t="s">
        <v>625</v>
      </c>
      <c r="G544" s="33">
        <v>1</v>
      </c>
      <c r="H544" s="33"/>
      <c r="I544" s="34">
        <v>59800</v>
      </c>
    </row>
    <row r="545" spans="2:9">
      <c r="B545" s="9" t="s">
        <v>549</v>
      </c>
      <c r="C545" s="9" t="s">
        <v>401</v>
      </c>
      <c r="D545" s="9" t="s">
        <v>139</v>
      </c>
      <c r="E545" s="33" t="s">
        <v>555</v>
      </c>
      <c r="F545" s="33" t="s">
        <v>626</v>
      </c>
      <c r="G545" s="33">
        <v>1</v>
      </c>
      <c r="H545" s="33"/>
      <c r="I545" s="34">
        <v>299</v>
      </c>
    </row>
    <row r="546" spans="2:9">
      <c r="B546" s="9" t="s">
        <v>549</v>
      </c>
      <c r="C546" s="9" t="s">
        <v>401</v>
      </c>
      <c r="D546" s="9" t="s">
        <v>139</v>
      </c>
      <c r="E546" s="33" t="s">
        <v>555</v>
      </c>
      <c r="F546" s="33" t="s">
        <v>627</v>
      </c>
      <c r="G546" s="33">
        <v>1</v>
      </c>
      <c r="H546" s="33"/>
      <c r="I546" s="34">
        <v>2980</v>
      </c>
    </row>
    <row r="547" spans="2:9">
      <c r="B547" s="9" t="s">
        <v>549</v>
      </c>
      <c r="C547" s="9" t="s">
        <v>401</v>
      </c>
      <c r="D547" s="9" t="s">
        <v>139</v>
      </c>
      <c r="E547" s="33" t="s">
        <v>555</v>
      </c>
      <c r="F547" s="33" t="s">
        <v>628</v>
      </c>
      <c r="G547" s="33">
        <v>6</v>
      </c>
      <c r="H547" s="33"/>
      <c r="I547" s="34">
        <v>6800</v>
      </c>
    </row>
    <row r="548" spans="2:9">
      <c r="B548" s="9" t="s">
        <v>549</v>
      </c>
      <c r="C548" s="9" t="s">
        <v>401</v>
      </c>
      <c r="D548" s="9" t="s">
        <v>139</v>
      </c>
      <c r="E548" s="33" t="s">
        <v>629</v>
      </c>
      <c r="F548" s="33" t="s">
        <v>630</v>
      </c>
      <c r="G548" s="33">
        <v>1</v>
      </c>
      <c r="H548" s="33"/>
      <c r="I548" s="34">
        <v>100000</v>
      </c>
    </row>
    <row r="549" spans="2:9">
      <c r="B549" s="9" t="s">
        <v>549</v>
      </c>
      <c r="C549" s="9" t="s">
        <v>401</v>
      </c>
      <c r="D549" s="9" t="s">
        <v>139</v>
      </c>
      <c r="E549" s="33" t="s">
        <v>629</v>
      </c>
      <c r="F549" s="33" t="s">
        <v>631</v>
      </c>
      <c r="G549" s="33">
        <v>1</v>
      </c>
      <c r="H549" s="33"/>
      <c r="I549" s="34">
        <v>70000</v>
      </c>
    </row>
    <row r="550" spans="2:9">
      <c r="B550" s="9" t="s">
        <v>549</v>
      </c>
      <c r="C550" s="9" t="s">
        <v>401</v>
      </c>
      <c r="D550" s="9" t="s">
        <v>139</v>
      </c>
      <c r="E550" s="33" t="s">
        <v>629</v>
      </c>
      <c r="F550" s="33" t="s">
        <v>632</v>
      </c>
      <c r="G550" s="33">
        <v>3</v>
      </c>
      <c r="H550" s="33"/>
      <c r="I550" s="34">
        <v>100000</v>
      </c>
    </row>
    <row r="551" spans="2:9">
      <c r="B551" s="9" t="s">
        <v>549</v>
      </c>
      <c r="C551" s="9" t="s">
        <v>401</v>
      </c>
      <c r="D551" s="9" t="s">
        <v>139</v>
      </c>
      <c r="E551" s="33" t="s">
        <v>629</v>
      </c>
      <c r="F551" s="33" t="s">
        <v>633</v>
      </c>
      <c r="G551" s="33">
        <v>1</v>
      </c>
      <c r="H551" s="33"/>
      <c r="I551" s="34">
        <v>80000</v>
      </c>
    </row>
    <row r="552" spans="2:9">
      <c r="B552" s="9" t="s">
        <v>549</v>
      </c>
      <c r="C552" s="9" t="s">
        <v>401</v>
      </c>
      <c r="D552" s="9" t="s">
        <v>139</v>
      </c>
      <c r="E552" s="33" t="s">
        <v>629</v>
      </c>
      <c r="F552" s="33" t="s">
        <v>634</v>
      </c>
      <c r="G552" s="33">
        <v>1</v>
      </c>
      <c r="H552" s="33"/>
      <c r="I552" s="34">
        <v>50000</v>
      </c>
    </row>
    <row r="553" spans="2:9">
      <c r="B553" s="9" t="s">
        <v>549</v>
      </c>
      <c r="C553" s="9" t="s">
        <v>401</v>
      </c>
      <c r="D553" s="9" t="s">
        <v>139</v>
      </c>
      <c r="E553" s="33" t="s">
        <v>629</v>
      </c>
      <c r="F553" s="33" t="s">
        <v>635</v>
      </c>
      <c r="G553" s="33">
        <v>1</v>
      </c>
      <c r="H553" s="33"/>
      <c r="I553" s="34">
        <v>150000</v>
      </c>
    </row>
    <row r="554" spans="2:9">
      <c r="B554" s="9" t="s">
        <v>549</v>
      </c>
      <c r="C554" s="9" t="s">
        <v>401</v>
      </c>
      <c r="D554" s="9" t="s">
        <v>139</v>
      </c>
      <c r="E554" s="33" t="s">
        <v>629</v>
      </c>
      <c r="F554" s="33" t="s">
        <v>636</v>
      </c>
      <c r="G554" s="33">
        <v>1</v>
      </c>
      <c r="H554" s="33"/>
      <c r="I554" s="34">
        <v>100000</v>
      </c>
    </row>
    <row r="555" spans="2:9">
      <c r="B555" s="9" t="s">
        <v>549</v>
      </c>
      <c r="C555" s="9" t="s">
        <v>401</v>
      </c>
      <c r="D555" s="9" t="s">
        <v>139</v>
      </c>
      <c r="E555" s="33" t="s">
        <v>629</v>
      </c>
      <c r="F555" s="33" t="s">
        <v>637</v>
      </c>
      <c r="G555" s="33">
        <v>1</v>
      </c>
      <c r="H555" s="33"/>
      <c r="I555" s="34">
        <v>30000</v>
      </c>
    </row>
    <row r="556" spans="2:9">
      <c r="B556" s="9" t="s">
        <v>549</v>
      </c>
      <c r="C556" s="9" t="s">
        <v>401</v>
      </c>
      <c r="D556" s="9" t="s">
        <v>139</v>
      </c>
      <c r="E556" s="33" t="s">
        <v>629</v>
      </c>
      <c r="F556" s="33" t="s">
        <v>638</v>
      </c>
      <c r="G556" s="33">
        <v>3</v>
      </c>
      <c r="H556" s="33"/>
      <c r="I556" s="34">
        <v>60000</v>
      </c>
    </row>
    <row r="557" spans="2:9">
      <c r="B557" s="9" t="s">
        <v>549</v>
      </c>
      <c r="C557" s="9" t="s">
        <v>401</v>
      </c>
      <c r="D557" s="9" t="s">
        <v>139</v>
      </c>
      <c r="E557" s="33" t="s">
        <v>629</v>
      </c>
      <c r="F557" s="33" t="s">
        <v>639</v>
      </c>
      <c r="G557" s="33">
        <v>1</v>
      </c>
      <c r="H557" s="33"/>
      <c r="I557" s="34">
        <v>50000</v>
      </c>
    </row>
    <row r="558" spans="2:9">
      <c r="B558" s="9" t="s">
        <v>549</v>
      </c>
      <c r="C558" s="9" t="s">
        <v>401</v>
      </c>
      <c r="D558" s="9" t="s">
        <v>139</v>
      </c>
      <c r="E558" s="33" t="s">
        <v>629</v>
      </c>
      <c r="F558" s="33" t="s">
        <v>640</v>
      </c>
      <c r="G558" s="33">
        <v>1</v>
      </c>
      <c r="H558" s="33"/>
      <c r="I558" s="34">
        <v>36000</v>
      </c>
    </row>
    <row r="559" spans="2:9">
      <c r="B559" s="9" t="s">
        <v>549</v>
      </c>
      <c r="C559" s="9" t="s">
        <v>401</v>
      </c>
      <c r="D559" s="9" t="s">
        <v>139</v>
      </c>
      <c r="E559" s="33" t="s">
        <v>629</v>
      </c>
      <c r="F559" s="33" t="s">
        <v>641</v>
      </c>
      <c r="G559" s="33">
        <v>1</v>
      </c>
      <c r="H559" s="33"/>
      <c r="I559" s="34">
        <v>19800</v>
      </c>
    </row>
    <row r="560" spans="2:9">
      <c r="B560" s="9" t="s">
        <v>549</v>
      </c>
      <c r="C560" s="9" t="s">
        <v>401</v>
      </c>
      <c r="D560" s="9" t="s">
        <v>139</v>
      </c>
      <c r="E560" s="33" t="s">
        <v>629</v>
      </c>
      <c r="F560" s="33" t="s">
        <v>642</v>
      </c>
      <c r="G560" s="33">
        <v>3</v>
      </c>
      <c r="H560" s="33"/>
      <c r="I560" s="34">
        <v>39800</v>
      </c>
    </row>
    <row r="561" spans="2:9">
      <c r="B561" s="9" t="s">
        <v>549</v>
      </c>
      <c r="C561" s="9" t="s">
        <v>401</v>
      </c>
      <c r="D561" s="9" t="s">
        <v>139</v>
      </c>
      <c r="E561" s="33" t="s">
        <v>629</v>
      </c>
      <c r="F561" s="33" t="s">
        <v>643</v>
      </c>
      <c r="G561" s="33">
        <v>3</v>
      </c>
      <c r="H561" s="33"/>
      <c r="I561" s="34">
        <v>50000</v>
      </c>
    </row>
    <row r="562" spans="2:9">
      <c r="B562" s="9" t="s">
        <v>549</v>
      </c>
      <c r="C562" s="9" t="s">
        <v>401</v>
      </c>
      <c r="D562" s="9" t="s">
        <v>139</v>
      </c>
      <c r="E562" s="33" t="s">
        <v>629</v>
      </c>
      <c r="F562" s="33" t="s">
        <v>644</v>
      </c>
      <c r="G562" s="33">
        <v>1</v>
      </c>
      <c r="H562" s="33"/>
      <c r="I562" s="34">
        <v>60000</v>
      </c>
    </row>
    <row r="563" spans="2:9">
      <c r="B563" s="9" t="s">
        <v>549</v>
      </c>
      <c r="C563" s="9" t="s">
        <v>401</v>
      </c>
      <c r="D563" s="9" t="s">
        <v>139</v>
      </c>
      <c r="E563" s="33" t="s">
        <v>629</v>
      </c>
      <c r="F563" s="33" t="s">
        <v>644</v>
      </c>
      <c r="G563" s="33">
        <v>3</v>
      </c>
      <c r="H563" s="33"/>
      <c r="I563" s="34">
        <v>100000</v>
      </c>
    </row>
    <row r="564" spans="2:9">
      <c r="B564" s="9" t="s">
        <v>549</v>
      </c>
      <c r="C564" s="9" t="s">
        <v>401</v>
      </c>
      <c r="D564" s="9" t="s">
        <v>139</v>
      </c>
      <c r="E564" s="33" t="s">
        <v>629</v>
      </c>
      <c r="F564" s="33" t="s">
        <v>645</v>
      </c>
      <c r="G564" s="33">
        <v>1</v>
      </c>
      <c r="H564" s="33"/>
      <c r="I564" s="34">
        <v>60000</v>
      </c>
    </row>
    <row r="565" spans="2:9">
      <c r="B565" s="9" t="s">
        <v>549</v>
      </c>
      <c r="C565" s="9" t="s">
        <v>401</v>
      </c>
      <c r="D565" s="9" t="s">
        <v>139</v>
      </c>
      <c r="E565" s="33" t="s">
        <v>629</v>
      </c>
      <c r="F565" s="33" t="s">
        <v>646</v>
      </c>
      <c r="G565" s="33">
        <v>3</v>
      </c>
      <c r="H565" s="33"/>
      <c r="I565" s="34">
        <v>100000</v>
      </c>
    </row>
    <row r="566" spans="2:9">
      <c r="B566" s="9" t="s">
        <v>549</v>
      </c>
      <c r="C566" s="9" t="s">
        <v>401</v>
      </c>
      <c r="D566" s="9" t="s">
        <v>139</v>
      </c>
      <c r="E566" s="33" t="s">
        <v>629</v>
      </c>
      <c r="F566" s="33" t="s">
        <v>647</v>
      </c>
      <c r="G566" s="33">
        <v>1</v>
      </c>
      <c r="H566" s="33"/>
      <c r="I566" s="34">
        <v>20000</v>
      </c>
    </row>
    <row r="567" spans="2:9">
      <c r="B567" s="9" t="s">
        <v>549</v>
      </c>
      <c r="C567" s="9" t="s">
        <v>401</v>
      </c>
      <c r="D567" s="9" t="s">
        <v>139</v>
      </c>
      <c r="E567" s="33" t="s">
        <v>629</v>
      </c>
      <c r="F567" s="33" t="s">
        <v>648</v>
      </c>
      <c r="G567" s="33">
        <v>1</v>
      </c>
      <c r="H567" s="33"/>
      <c r="I567" s="34">
        <v>30000</v>
      </c>
    </row>
    <row r="568" spans="2:9">
      <c r="B568" s="9" t="s">
        <v>549</v>
      </c>
      <c r="C568" s="9" t="s">
        <v>401</v>
      </c>
      <c r="D568" s="9" t="s">
        <v>139</v>
      </c>
      <c r="E568" s="33" t="s">
        <v>629</v>
      </c>
      <c r="F568" s="33" t="s">
        <v>649</v>
      </c>
      <c r="G568" s="33">
        <v>1</v>
      </c>
      <c r="H568" s="33"/>
      <c r="I568" s="34">
        <v>30000</v>
      </c>
    </row>
    <row r="569" spans="2:9">
      <c r="B569" s="9" t="s">
        <v>549</v>
      </c>
      <c r="C569" s="9" t="s">
        <v>401</v>
      </c>
      <c r="D569" s="9" t="s">
        <v>139</v>
      </c>
      <c r="E569" s="33" t="s">
        <v>629</v>
      </c>
      <c r="F569" s="33" t="s">
        <v>650</v>
      </c>
      <c r="G569" s="33">
        <v>1</v>
      </c>
      <c r="H569" s="33"/>
      <c r="I569" s="34">
        <v>19800</v>
      </c>
    </row>
    <row r="570" spans="2:9">
      <c r="B570" s="9" t="s">
        <v>549</v>
      </c>
      <c r="C570" s="9" t="s">
        <v>401</v>
      </c>
      <c r="D570" s="9" t="s">
        <v>139</v>
      </c>
      <c r="E570" s="33" t="s">
        <v>629</v>
      </c>
      <c r="F570" s="33" t="s">
        <v>651</v>
      </c>
      <c r="G570" s="33">
        <v>1</v>
      </c>
      <c r="H570" s="33"/>
      <c r="I570" s="34">
        <v>29800</v>
      </c>
    </row>
    <row r="571" spans="2:9">
      <c r="B571" s="9" t="s">
        <v>549</v>
      </c>
      <c r="C571" s="9" t="s">
        <v>401</v>
      </c>
      <c r="D571" s="9" t="s">
        <v>139</v>
      </c>
      <c r="E571" s="33" t="s">
        <v>629</v>
      </c>
      <c r="F571" s="33" t="s">
        <v>652</v>
      </c>
      <c r="G571" s="33">
        <v>1</v>
      </c>
      <c r="H571" s="33"/>
      <c r="I571" s="34">
        <v>29800</v>
      </c>
    </row>
    <row r="572" spans="2:9">
      <c r="B572" s="9" t="s">
        <v>549</v>
      </c>
      <c r="C572" s="9" t="s">
        <v>401</v>
      </c>
      <c r="D572" s="9" t="s">
        <v>139</v>
      </c>
      <c r="E572" s="33" t="s">
        <v>629</v>
      </c>
      <c r="F572" s="33" t="s">
        <v>653</v>
      </c>
      <c r="G572" s="33">
        <v>1</v>
      </c>
      <c r="H572" s="33"/>
      <c r="I572" s="34">
        <v>59800</v>
      </c>
    </row>
    <row r="573" spans="2:9">
      <c r="B573" s="9" t="s">
        <v>549</v>
      </c>
      <c r="C573" s="9" t="s">
        <v>401</v>
      </c>
      <c r="D573" s="9" t="s">
        <v>139</v>
      </c>
      <c r="E573" s="33" t="s">
        <v>629</v>
      </c>
      <c r="F573" s="33" t="s">
        <v>654</v>
      </c>
      <c r="G573" s="33">
        <v>1</v>
      </c>
      <c r="H573" s="33"/>
      <c r="I573" s="34">
        <v>50000</v>
      </c>
    </row>
    <row r="574" spans="2:9">
      <c r="B574" s="9" t="s">
        <v>549</v>
      </c>
      <c r="C574" s="9" t="s">
        <v>401</v>
      </c>
      <c r="D574" s="9" t="s">
        <v>139</v>
      </c>
      <c r="E574" s="33" t="s">
        <v>629</v>
      </c>
      <c r="F574" s="33" t="s">
        <v>655</v>
      </c>
      <c r="G574" s="33">
        <v>1</v>
      </c>
      <c r="H574" s="33"/>
      <c r="I574" s="34">
        <v>198000</v>
      </c>
    </row>
    <row r="575" spans="2:9">
      <c r="B575" s="9" t="s">
        <v>549</v>
      </c>
      <c r="C575" s="9" t="s">
        <v>401</v>
      </c>
      <c r="D575" s="9" t="s">
        <v>139</v>
      </c>
      <c r="E575" s="33" t="s">
        <v>629</v>
      </c>
      <c r="F575" s="33" t="s">
        <v>656</v>
      </c>
      <c r="G575" s="33">
        <v>1</v>
      </c>
      <c r="H575" s="33"/>
      <c r="I575" s="34">
        <v>298000</v>
      </c>
    </row>
    <row r="576" spans="2:9">
      <c r="B576" s="9" t="s">
        <v>549</v>
      </c>
      <c r="C576" s="9" t="s">
        <v>401</v>
      </c>
      <c r="D576" s="9" t="s">
        <v>139</v>
      </c>
      <c r="E576" s="33" t="s">
        <v>629</v>
      </c>
      <c r="F576" s="33" t="s">
        <v>657</v>
      </c>
      <c r="G576" s="33">
        <v>1</v>
      </c>
      <c r="H576" s="33"/>
      <c r="I576" s="34">
        <v>98000</v>
      </c>
    </row>
    <row r="577" spans="2:9">
      <c r="B577" s="9" t="s">
        <v>549</v>
      </c>
      <c r="C577" s="9" t="s">
        <v>401</v>
      </c>
      <c r="D577" s="9" t="s">
        <v>139</v>
      </c>
      <c r="E577" s="33" t="s">
        <v>629</v>
      </c>
      <c r="F577" s="33" t="s">
        <v>658</v>
      </c>
      <c r="G577" s="33">
        <v>1</v>
      </c>
      <c r="H577" s="33"/>
      <c r="I577" s="34">
        <v>168000</v>
      </c>
    </row>
    <row r="578" spans="2:9">
      <c r="B578" s="9" t="s">
        <v>549</v>
      </c>
      <c r="C578" s="9" t="s">
        <v>401</v>
      </c>
      <c r="D578" s="9" t="s">
        <v>139</v>
      </c>
      <c r="E578" s="33" t="s">
        <v>629</v>
      </c>
      <c r="F578" s="33" t="s">
        <v>659</v>
      </c>
      <c r="G578" s="33">
        <v>1</v>
      </c>
      <c r="H578" s="33"/>
      <c r="I578" s="34">
        <v>9800</v>
      </c>
    </row>
    <row r="579" spans="2:9">
      <c r="B579" s="9" t="s">
        <v>549</v>
      </c>
      <c r="C579" s="9" t="s">
        <v>401</v>
      </c>
      <c r="D579" s="9" t="s">
        <v>139</v>
      </c>
      <c r="E579" s="33" t="s">
        <v>629</v>
      </c>
      <c r="F579" s="33" t="s">
        <v>660</v>
      </c>
      <c r="G579" s="33">
        <v>1</v>
      </c>
      <c r="H579" s="33"/>
      <c r="I579" s="34">
        <v>19800</v>
      </c>
    </row>
    <row r="580" spans="2:9">
      <c r="B580" s="9" t="s">
        <v>549</v>
      </c>
      <c r="C580" s="9" t="s">
        <v>401</v>
      </c>
      <c r="D580" s="9" t="s">
        <v>139</v>
      </c>
      <c r="E580" s="33" t="s">
        <v>629</v>
      </c>
      <c r="F580" s="33" t="s">
        <v>661</v>
      </c>
      <c r="G580" s="33">
        <v>1</v>
      </c>
      <c r="H580" s="33"/>
      <c r="I580" s="34">
        <v>39800</v>
      </c>
    </row>
    <row r="581" spans="2:9">
      <c r="B581" s="9" t="s">
        <v>549</v>
      </c>
      <c r="C581" s="9" t="s">
        <v>401</v>
      </c>
      <c r="D581" s="9" t="s">
        <v>139</v>
      </c>
      <c r="E581" s="33" t="s">
        <v>629</v>
      </c>
      <c r="F581" s="33" t="s">
        <v>662</v>
      </c>
      <c r="G581" s="33">
        <v>1</v>
      </c>
      <c r="H581" s="33"/>
      <c r="I581" s="34">
        <v>128000</v>
      </c>
    </row>
    <row r="582" spans="2:9">
      <c r="B582" s="9" t="s">
        <v>549</v>
      </c>
      <c r="C582" s="9" t="s">
        <v>401</v>
      </c>
      <c r="D582" s="9" t="s">
        <v>139</v>
      </c>
      <c r="E582" s="33" t="s">
        <v>629</v>
      </c>
      <c r="F582" s="33" t="s">
        <v>663</v>
      </c>
      <c r="G582" s="33">
        <v>1</v>
      </c>
      <c r="H582" s="33"/>
      <c r="I582" s="34">
        <v>98000</v>
      </c>
    </row>
    <row r="583" spans="2:9">
      <c r="B583" s="9" t="s">
        <v>549</v>
      </c>
      <c r="C583" s="9" t="s">
        <v>401</v>
      </c>
      <c r="D583" s="9" t="s">
        <v>139</v>
      </c>
      <c r="E583" s="33" t="s">
        <v>629</v>
      </c>
      <c r="F583" s="33" t="s">
        <v>664</v>
      </c>
      <c r="G583" s="33">
        <v>1</v>
      </c>
      <c r="H583" s="33"/>
      <c r="I583" s="34">
        <v>158000</v>
      </c>
    </row>
    <row r="584" spans="2:9">
      <c r="B584" s="9" t="s">
        <v>549</v>
      </c>
      <c r="C584" s="9" t="s">
        <v>401</v>
      </c>
      <c r="D584" s="9" t="s">
        <v>139</v>
      </c>
      <c r="E584" s="33" t="s">
        <v>629</v>
      </c>
      <c r="F584" s="33" t="s">
        <v>665</v>
      </c>
      <c r="G584" s="33">
        <v>1</v>
      </c>
      <c r="H584" s="33"/>
      <c r="I584" s="34">
        <v>198000</v>
      </c>
    </row>
    <row r="585" spans="2:9">
      <c r="B585" s="9" t="s">
        <v>549</v>
      </c>
      <c r="C585" s="9" t="s">
        <v>401</v>
      </c>
      <c r="D585" s="9" t="s">
        <v>139</v>
      </c>
      <c r="E585" s="33" t="s">
        <v>629</v>
      </c>
      <c r="F585" s="33" t="s">
        <v>666</v>
      </c>
      <c r="G585" s="33">
        <v>1</v>
      </c>
      <c r="H585" s="33"/>
      <c r="I585" s="34">
        <v>19800</v>
      </c>
    </row>
    <row r="586" spans="2:9">
      <c r="B586" s="9" t="s">
        <v>549</v>
      </c>
      <c r="C586" s="9" t="s">
        <v>401</v>
      </c>
      <c r="D586" s="9" t="s">
        <v>139</v>
      </c>
      <c r="E586" s="33" t="s">
        <v>629</v>
      </c>
      <c r="F586" s="33" t="s">
        <v>666</v>
      </c>
      <c r="G586" s="33">
        <v>2</v>
      </c>
      <c r="H586" s="33"/>
      <c r="I586" s="34">
        <v>29800</v>
      </c>
    </row>
    <row r="587" spans="2:9">
      <c r="B587" s="9" t="s">
        <v>549</v>
      </c>
      <c r="C587" s="9" t="s">
        <v>401</v>
      </c>
      <c r="D587" s="9" t="s">
        <v>139</v>
      </c>
      <c r="E587" s="33" t="s">
        <v>629</v>
      </c>
      <c r="F587" s="33" t="s">
        <v>667</v>
      </c>
      <c r="G587" s="33">
        <v>1</v>
      </c>
      <c r="H587" s="33"/>
      <c r="I587" s="34">
        <v>29800</v>
      </c>
    </row>
    <row r="588" spans="2:9">
      <c r="B588" s="9" t="s">
        <v>549</v>
      </c>
      <c r="C588" s="9" t="s">
        <v>401</v>
      </c>
      <c r="D588" s="9" t="s">
        <v>139</v>
      </c>
      <c r="E588" s="33" t="s">
        <v>629</v>
      </c>
      <c r="F588" s="33" t="s">
        <v>668</v>
      </c>
      <c r="G588" s="33">
        <v>1</v>
      </c>
      <c r="H588" s="33"/>
      <c r="I588" s="34">
        <v>39800</v>
      </c>
    </row>
    <row r="589" spans="2:9">
      <c r="B589" s="9" t="s">
        <v>549</v>
      </c>
      <c r="C589" s="9" t="s">
        <v>401</v>
      </c>
      <c r="D589" s="9" t="s">
        <v>139</v>
      </c>
      <c r="E589" s="33" t="s">
        <v>629</v>
      </c>
      <c r="F589" s="33" t="s">
        <v>669</v>
      </c>
      <c r="G589" s="33">
        <v>1</v>
      </c>
      <c r="H589" s="33"/>
      <c r="I589" s="34">
        <v>59800</v>
      </c>
    </row>
    <row r="590" spans="2:9">
      <c r="B590" s="9" t="s">
        <v>549</v>
      </c>
      <c r="C590" s="9" t="s">
        <v>401</v>
      </c>
      <c r="D590" s="9" t="s">
        <v>139</v>
      </c>
      <c r="E590" s="33" t="s">
        <v>629</v>
      </c>
      <c r="F590" s="33" t="s">
        <v>670</v>
      </c>
      <c r="G590" s="33">
        <v>1</v>
      </c>
      <c r="H590" s="33"/>
      <c r="I590" s="34">
        <v>19800</v>
      </c>
    </row>
    <row r="591" spans="2:9">
      <c r="B591" s="9" t="s">
        <v>549</v>
      </c>
      <c r="C591" s="9" t="s">
        <v>401</v>
      </c>
      <c r="D591" s="9" t="s">
        <v>139</v>
      </c>
      <c r="E591" s="33" t="s">
        <v>629</v>
      </c>
      <c r="F591" s="33" t="s">
        <v>671</v>
      </c>
      <c r="G591" s="33">
        <v>1</v>
      </c>
      <c r="H591" s="33"/>
      <c r="I591" s="34">
        <v>9800</v>
      </c>
    </row>
    <row r="592" spans="2:9">
      <c r="B592" s="9" t="s">
        <v>549</v>
      </c>
      <c r="C592" s="9" t="s">
        <v>401</v>
      </c>
      <c r="D592" s="9" t="s">
        <v>139</v>
      </c>
      <c r="E592" s="33" t="s">
        <v>629</v>
      </c>
      <c r="F592" s="33" t="s">
        <v>672</v>
      </c>
      <c r="G592" s="33">
        <v>1</v>
      </c>
      <c r="H592" s="33"/>
      <c r="I592" s="34">
        <v>19800</v>
      </c>
    </row>
    <row r="593" spans="2:9">
      <c r="B593" s="9" t="s">
        <v>549</v>
      </c>
      <c r="C593" s="9" t="s">
        <v>401</v>
      </c>
      <c r="D593" s="9" t="s">
        <v>139</v>
      </c>
      <c r="E593" s="33" t="s">
        <v>629</v>
      </c>
      <c r="F593" s="33" t="s">
        <v>673</v>
      </c>
      <c r="G593" s="33">
        <v>1</v>
      </c>
      <c r="H593" s="33"/>
      <c r="I593" s="34">
        <v>30000</v>
      </c>
    </row>
    <row r="594" spans="2:9">
      <c r="B594" s="9" t="s">
        <v>549</v>
      </c>
      <c r="C594" s="9" t="s">
        <v>401</v>
      </c>
      <c r="D594" s="9" t="s">
        <v>139</v>
      </c>
      <c r="E594" s="33" t="s">
        <v>674</v>
      </c>
      <c r="F594" s="33" t="s">
        <v>675</v>
      </c>
      <c r="G594" s="33">
        <v>1</v>
      </c>
      <c r="H594" s="33"/>
      <c r="I594" s="34">
        <v>12800</v>
      </c>
    </row>
    <row r="595" spans="2:9">
      <c r="B595" s="9" t="s">
        <v>549</v>
      </c>
      <c r="C595" s="9" t="s">
        <v>401</v>
      </c>
      <c r="D595" s="9" t="s">
        <v>139</v>
      </c>
      <c r="E595" s="33" t="s">
        <v>674</v>
      </c>
      <c r="F595" s="33" t="s">
        <v>676</v>
      </c>
      <c r="G595" s="33">
        <v>1</v>
      </c>
      <c r="H595" s="33"/>
      <c r="I595" s="34">
        <v>8800</v>
      </c>
    </row>
    <row r="596" spans="2:9">
      <c r="B596" s="9" t="s">
        <v>549</v>
      </c>
      <c r="C596" s="9" t="s">
        <v>401</v>
      </c>
      <c r="D596" s="9" t="s">
        <v>139</v>
      </c>
      <c r="E596" s="33" t="s">
        <v>674</v>
      </c>
      <c r="F596" s="33" t="s">
        <v>677</v>
      </c>
      <c r="G596" s="33">
        <v>1</v>
      </c>
      <c r="H596" s="33"/>
      <c r="I596" s="34">
        <v>8800</v>
      </c>
    </row>
    <row r="597" spans="2:9">
      <c r="B597" s="9" t="s">
        <v>549</v>
      </c>
      <c r="C597" s="9" t="s">
        <v>401</v>
      </c>
      <c r="D597" s="9" t="s">
        <v>139</v>
      </c>
      <c r="E597" s="33" t="s">
        <v>674</v>
      </c>
      <c r="F597" s="33" t="s">
        <v>678</v>
      </c>
      <c r="G597" s="33">
        <v>1</v>
      </c>
      <c r="H597" s="33"/>
      <c r="I597" s="34">
        <v>5980</v>
      </c>
    </row>
    <row r="598" spans="2:9">
      <c r="B598" s="9" t="s">
        <v>549</v>
      </c>
      <c r="C598" s="9" t="s">
        <v>401</v>
      </c>
      <c r="D598" s="9" t="s">
        <v>139</v>
      </c>
      <c r="E598" s="33" t="s">
        <v>674</v>
      </c>
      <c r="F598" s="33" t="s">
        <v>679</v>
      </c>
      <c r="G598" s="33">
        <v>1</v>
      </c>
      <c r="H598" s="33"/>
      <c r="I598" s="34">
        <v>3980</v>
      </c>
    </row>
    <row r="599" spans="2:9">
      <c r="B599" s="9" t="s">
        <v>549</v>
      </c>
      <c r="C599" s="9" t="s">
        <v>401</v>
      </c>
      <c r="D599" s="9" t="s">
        <v>139</v>
      </c>
      <c r="E599" s="33" t="s">
        <v>674</v>
      </c>
      <c r="F599" s="33" t="s">
        <v>680</v>
      </c>
      <c r="G599" s="33">
        <v>1</v>
      </c>
      <c r="H599" s="33"/>
      <c r="I599" s="34">
        <v>12800</v>
      </c>
    </row>
    <row r="600" spans="2:9">
      <c r="B600" s="9" t="s">
        <v>549</v>
      </c>
      <c r="C600" s="9" t="s">
        <v>401</v>
      </c>
      <c r="D600" s="9" t="s">
        <v>139</v>
      </c>
      <c r="E600" s="33" t="s">
        <v>674</v>
      </c>
      <c r="F600" s="33" t="s">
        <v>681</v>
      </c>
      <c r="G600" s="33">
        <v>1</v>
      </c>
      <c r="H600" s="33"/>
      <c r="I600" s="34">
        <v>19800</v>
      </c>
    </row>
    <row r="601" spans="2:9">
      <c r="B601" s="9" t="s">
        <v>549</v>
      </c>
      <c r="C601" s="9" t="s">
        <v>401</v>
      </c>
      <c r="D601" s="9" t="s">
        <v>139</v>
      </c>
      <c r="E601" s="33" t="s">
        <v>674</v>
      </c>
      <c r="F601" s="33" t="s">
        <v>682</v>
      </c>
      <c r="G601" s="33">
        <v>1</v>
      </c>
      <c r="H601" s="33"/>
      <c r="I601" s="34">
        <v>19800</v>
      </c>
    </row>
    <row r="602" spans="2:9">
      <c r="B602" s="9" t="s">
        <v>549</v>
      </c>
      <c r="C602" s="9" t="s">
        <v>401</v>
      </c>
      <c r="D602" s="9" t="s">
        <v>139</v>
      </c>
      <c r="E602" s="33" t="s">
        <v>674</v>
      </c>
      <c r="F602" s="33" t="s">
        <v>683</v>
      </c>
      <c r="G602" s="33">
        <v>1</v>
      </c>
      <c r="H602" s="33"/>
      <c r="I602" s="34">
        <v>29800</v>
      </c>
    </row>
    <row r="603" spans="2:9">
      <c r="B603" s="9" t="s">
        <v>549</v>
      </c>
      <c r="C603" s="9" t="s">
        <v>401</v>
      </c>
      <c r="D603" s="9" t="s">
        <v>139</v>
      </c>
      <c r="E603" s="33" t="s">
        <v>674</v>
      </c>
      <c r="F603" s="33" t="s">
        <v>684</v>
      </c>
      <c r="G603" s="33">
        <v>1</v>
      </c>
      <c r="H603" s="33"/>
      <c r="I603" s="34">
        <v>8800</v>
      </c>
    </row>
    <row r="604" spans="2:9">
      <c r="B604" s="9" t="s">
        <v>549</v>
      </c>
      <c r="C604" s="9" t="s">
        <v>401</v>
      </c>
      <c r="D604" s="9" t="s">
        <v>139</v>
      </c>
      <c r="E604" s="33" t="s">
        <v>685</v>
      </c>
      <c r="F604" s="33" t="s">
        <v>686</v>
      </c>
      <c r="G604" s="33">
        <v>1</v>
      </c>
      <c r="H604" s="33"/>
      <c r="I604" s="34">
        <v>8800</v>
      </c>
    </row>
    <row r="605" spans="2:9">
      <c r="B605" s="9" t="s">
        <v>549</v>
      </c>
      <c r="C605" s="9" t="s">
        <v>401</v>
      </c>
      <c r="D605" s="9" t="s">
        <v>139</v>
      </c>
      <c r="E605" s="33" t="s">
        <v>685</v>
      </c>
      <c r="F605" s="33" t="s">
        <v>687</v>
      </c>
      <c r="G605" s="33">
        <v>1</v>
      </c>
      <c r="H605" s="33"/>
      <c r="I605" s="34">
        <v>19800</v>
      </c>
    </row>
    <row r="606" spans="2:9">
      <c r="B606" s="9" t="s">
        <v>549</v>
      </c>
      <c r="C606" s="9" t="s">
        <v>401</v>
      </c>
      <c r="D606" s="9" t="s">
        <v>139</v>
      </c>
      <c r="E606" s="33" t="s">
        <v>685</v>
      </c>
      <c r="F606" s="33" t="s">
        <v>688</v>
      </c>
      <c r="G606" s="33">
        <v>1</v>
      </c>
      <c r="H606" s="33"/>
      <c r="I606" s="34">
        <v>9800</v>
      </c>
    </row>
    <row r="607" spans="2:9">
      <c r="B607" s="9" t="s">
        <v>549</v>
      </c>
      <c r="C607" s="9" t="s">
        <v>401</v>
      </c>
      <c r="D607" s="9" t="s">
        <v>139</v>
      </c>
      <c r="E607" s="33" t="s">
        <v>685</v>
      </c>
      <c r="F607" s="33" t="s">
        <v>689</v>
      </c>
      <c r="G607" s="33">
        <v>1</v>
      </c>
      <c r="H607" s="33"/>
      <c r="I607" s="34">
        <v>29800</v>
      </c>
    </row>
    <row r="608" spans="2:9">
      <c r="B608" s="9" t="s">
        <v>549</v>
      </c>
      <c r="C608" s="9" t="s">
        <v>401</v>
      </c>
      <c r="D608" s="9" t="s">
        <v>139</v>
      </c>
      <c r="E608" s="33" t="s">
        <v>685</v>
      </c>
      <c r="F608" s="33" t="s">
        <v>690</v>
      </c>
      <c r="G608" s="33">
        <v>1</v>
      </c>
      <c r="H608" s="33"/>
      <c r="I608" s="34">
        <v>9800</v>
      </c>
    </row>
    <row r="609" spans="2:9">
      <c r="B609" s="9" t="s">
        <v>549</v>
      </c>
      <c r="C609" s="9" t="s">
        <v>401</v>
      </c>
      <c r="D609" s="9" t="s">
        <v>139</v>
      </c>
      <c r="E609" s="33" t="s">
        <v>685</v>
      </c>
      <c r="F609" s="33" t="s">
        <v>691</v>
      </c>
      <c r="G609" s="33">
        <v>1</v>
      </c>
      <c r="H609" s="33"/>
      <c r="I609" s="34">
        <v>29800</v>
      </c>
    </row>
    <row r="610" spans="2:9">
      <c r="B610" s="9" t="s">
        <v>549</v>
      </c>
      <c r="C610" s="9" t="s">
        <v>401</v>
      </c>
      <c r="D610" s="9" t="s">
        <v>139</v>
      </c>
      <c r="E610" s="33" t="s">
        <v>685</v>
      </c>
      <c r="F610" s="33" t="s">
        <v>692</v>
      </c>
      <c r="G610" s="33">
        <v>1</v>
      </c>
      <c r="H610" s="33"/>
      <c r="I610" s="34">
        <v>5800</v>
      </c>
    </row>
    <row r="611" spans="2:9">
      <c r="B611" s="9" t="s">
        <v>549</v>
      </c>
      <c r="C611" s="9" t="s">
        <v>401</v>
      </c>
      <c r="D611" s="9" t="s">
        <v>139</v>
      </c>
      <c r="E611" s="33" t="s">
        <v>685</v>
      </c>
      <c r="F611" s="33" t="s">
        <v>693</v>
      </c>
      <c r="G611" s="33">
        <v>1</v>
      </c>
      <c r="H611" s="33"/>
      <c r="I611" s="34">
        <v>12800</v>
      </c>
    </row>
    <row r="612" spans="2:9">
      <c r="B612" s="9" t="s">
        <v>549</v>
      </c>
      <c r="C612" s="9" t="s">
        <v>401</v>
      </c>
      <c r="D612" s="9" t="s">
        <v>139</v>
      </c>
      <c r="E612" s="33" t="s">
        <v>685</v>
      </c>
      <c r="F612" s="33" t="s">
        <v>694</v>
      </c>
      <c r="G612" s="33">
        <v>1</v>
      </c>
      <c r="H612" s="33"/>
      <c r="I612" s="34">
        <v>6800</v>
      </c>
    </row>
    <row r="613" spans="2:9">
      <c r="B613" s="9" t="s">
        <v>549</v>
      </c>
      <c r="C613" s="9" t="s">
        <v>401</v>
      </c>
      <c r="D613" s="9" t="s">
        <v>139</v>
      </c>
      <c r="E613" s="33" t="s">
        <v>685</v>
      </c>
      <c r="F613" s="33" t="s">
        <v>695</v>
      </c>
      <c r="G613" s="33">
        <v>1</v>
      </c>
      <c r="H613" s="33"/>
      <c r="I613" s="34">
        <v>19800</v>
      </c>
    </row>
    <row r="614" spans="2:9">
      <c r="B614" s="9" t="s">
        <v>549</v>
      </c>
      <c r="C614" s="9" t="s">
        <v>401</v>
      </c>
      <c r="D614" s="9" t="s">
        <v>139</v>
      </c>
      <c r="E614" s="33" t="s">
        <v>685</v>
      </c>
      <c r="F614" s="33" t="s">
        <v>696</v>
      </c>
      <c r="G614" s="33">
        <v>1</v>
      </c>
      <c r="H614" s="33"/>
      <c r="I614" s="34">
        <v>6800</v>
      </c>
    </row>
    <row r="615" spans="2:9">
      <c r="B615" s="9" t="s">
        <v>549</v>
      </c>
      <c r="C615" s="9" t="s">
        <v>401</v>
      </c>
      <c r="D615" s="9" t="s">
        <v>139</v>
      </c>
      <c r="E615" s="33" t="s">
        <v>685</v>
      </c>
      <c r="F615" s="33" t="s">
        <v>697</v>
      </c>
      <c r="G615" s="33">
        <v>1</v>
      </c>
      <c r="H615" s="33"/>
      <c r="I615" s="34">
        <v>19800</v>
      </c>
    </row>
    <row r="616" spans="2:9">
      <c r="B616" s="9" t="s">
        <v>549</v>
      </c>
      <c r="C616" s="9" t="s">
        <v>401</v>
      </c>
      <c r="D616" s="9" t="s">
        <v>139</v>
      </c>
      <c r="E616" s="33" t="s">
        <v>685</v>
      </c>
      <c r="F616" s="33" t="s">
        <v>698</v>
      </c>
      <c r="G616" s="33">
        <v>1</v>
      </c>
      <c r="H616" s="33"/>
      <c r="I616" s="34">
        <v>3980</v>
      </c>
    </row>
    <row r="617" spans="2:9">
      <c r="B617" s="9" t="s">
        <v>549</v>
      </c>
      <c r="C617" s="9" t="s">
        <v>401</v>
      </c>
      <c r="D617" s="9" t="s">
        <v>139</v>
      </c>
      <c r="E617" s="33" t="s">
        <v>685</v>
      </c>
      <c r="F617" s="33" t="s">
        <v>699</v>
      </c>
      <c r="G617" s="33">
        <v>1</v>
      </c>
      <c r="H617" s="33"/>
      <c r="I617" s="34">
        <v>3980</v>
      </c>
    </row>
    <row r="618" spans="2:9">
      <c r="B618" s="9" t="s">
        <v>549</v>
      </c>
      <c r="C618" s="9" t="s">
        <v>401</v>
      </c>
      <c r="D618" s="9" t="s">
        <v>139</v>
      </c>
      <c r="E618" s="33" t="s">
        <v>685</v>
      </c>
      <c r="F618" s="33" t="s">
        <v>700</v>
      </c>
      <c r="G618" s="33">
        <v>1</v>
      </c>
      <c r="H618" s="33"/>
      <c r="I618" s="34">
        <v>9800</v>
      </c>
    </row>
    <row r="619" spans="2:9">
      <c r="B619" s="9" t="s">
        <v>549</v>
      </c>
      <c r="C619" s="9" t="s">
        <v>401</v>
      </c>
      <c r="D619" s="9" t="s">
        <v>139</v>
      </c>
      <c r="E619" s="33" t="s">
        <v>629</v>
      </c>
      <c r="F619" s="33" t="s">
        <v>701</v>
      </c>
      <c r="G619" s="33">
        <v>1</v>
      </c>
      <c r="H619" s="33"/>
      <c r="I619" s="34">
        <v>980</v>
      </c>
    </row>
    <row r="620" spans="2:9">
      <c r="B620" s="9" t="s">
        <v>549</v>
      </c>
      <c r="C620" s="9" t="s">
        <v>401</v>
      </c>
      <c r="D620" s="9" t="s">
        <v>139</v>
      </c>
      <c r="E620" s="33" t="s">
        <v>702</v>
      </c>
      <c r="F620" s="33" t="s">
        <v>703</v>
      </c>
      <c r="G620" s="33">
        <v>12</v>
      </c>
      <c r="H620" s="33"/>
      <c r="I620" s="34">
        <v>19800</v>
      </c>
    </row>
    <row r="621" spans="2:9">
      <c r="B621" s="9" t="s">
        <v>549</v>
      </c>
      <c r="C621" s="9" t="s">
        <v>401</v>
      </c>
      <c r="D621" s="9" t="s">
        <v>139</v>
      </c>
      <c r="E621" s="33" t="s">
        <v>702</v>
      </c>
      <c r="F621" s="33" t="s">
        <v>703</v>
      </c>
      <c r="G621" s="33">
        <v>3</v>
      </c>
      <c r="H621" s="33"/>
      <c r="I621" s="34">
        <v>4950</v>
      </c>
    </row>
    <row r="622" spans="2:9">
      <c r="B622" s="9" t="s">
        <v>549</v>
      </c>
      <c r="C622" s="9" t="s">
        <v>401</v>
      </c>
      <c r="D622" s="9" t="s">
        <v>139</v>
      </c>
      <c r="E622" s="33" t="s">
        <v>702</v>
      </c>
      <c r="F622" s="33" t="s">
        <v>704</v>
      </c>
      <c r="G622" s="33">
        <v>1</v>
      </c>
      <c r="H622" s="33"/>
      <c r="I622" s="34">
        <v>12800</v>
      </c>
    </row>
    <row r="623" spans="2:9">
      <c r="B623" s="9" t="s">
        <v>549</v>
      </c>
      <c r="C623" s="9" t="s">
        <v>401</v>
      </c>
      <c r="D623" s="9" t="s">
        <v>140</v>
      </c>
      <c r="E623" s="9" t="s">
        <v>705</v>
      </c>
      <c r="F623" s="33" t="s">
        <v>706</v>
      </c>
      <c r="G623" s="33">
        <v>1</v>
      </c>
      <c r="H623" s="33"/>
      <c r="I623" s="34">
        <v>4580</v>
      </c>
    </row>
    <row r="624" spans="2:9">
      <c r="B624" s="9" t="s">
        <v>549</v>
      </c>
      <c r="C624" s="9" t="s">
        <v>401</v>
      </c>
      <c r="D624" s="9" t="s">
        <v>140</v>
      </c>
      <c r="E624" s="9" t="s">
        <v>705</v>
      </c>
      <c r="F624" s="33" t="s">
        <v>707</v>
      </c>
      <c r="G624" s="33">
        <v>1</v>
      </c>
      <c r="H624" s="33"/>
      <c r="I624" s="34">
        <v>4580</v>
      </c>
    </row>
    <row r="625" spans="2:9">
      <c r="B625" s="9" t="s">
        <v>549</v>
      </c>
      <c r="C625" s="9" t="s">
        <v>401</v>
      </c>
      <c r="D625" s="9" t="s">
        <v>140</v>
      </c>
      <c r="E625" s="9" t="s">
        <v>705</v>
      </c>
      <c r="F625" s="33" t="s">
        <v>708</v>
      </c>
      <c r="G625" s="33">
        <v>1</v>
      </c>
      <c r="H625" s="33"/>
      <c r="I625" s="34">
        <v>5980</v>
      </c>
    </row>
    <row r="626" spans="2:9">
      <c r="B626" s="9" t="s">
        <v>549</v>
      </c>
      <c r="C626" s="9" t="s">
        <v>401</v>
      </c>
      <c r="D626" s="9" t="s">
        <v>140</v>
      </c>
      <c r="E626" s="9" t="s">
        <v>705</v>
      </c>
      <c r="F626" s="33" t="s">
        <v>709</v>
      </c>
      <c r="G626" s="33">
        <v>1</v>
      </c>
      <c r="H626" s="33"/>
      <c r="I626" s="34">
        <v>7980</v>
      </c>
    </row>
    <row r="627" spans="2:9">
      <c r="B627" s="9" t="s">
        <v>549</v>
      </c>
      <c r="C627" s="9" t="s">
        <v>401</v>
      </c>
      <c r="D627" s="9" t="s">
        <v>140</v>
      </c>
      <c r="E627" s="9" t="s">
        <v>705</v>
      </c>
      <c r="F627" s="33" t="s">
        <v>710</v>
      </c>
      <c r="G627" s="33">
        <v>1</v>
      </c>
      <c r="H627" s="33"/>
      <c r="I627" s="34">
        <v>8980</v>
      </c>
    </row>
    <row r="628" spans="2:9">
      <c r="B628" s="9" t="s">
        <v>549</v>
      </c>
      <c r="C628" s="9" t="s">
        <v>401</v>
      </c>
      <c r="D628" s="9" t="s">
        <v>140</v>
      </c>
      <c r="E628" s="9" t="s">
        <v>705</v>
      </c>
      <c r="F628" s="33" t="s">
        <v>711</v>
      </c>
      <c r="G628" s="33">
        <v>1</v>
      </c>
      <c r="H628" s="33"/>
      <c r="I628" s="34">
        <v>12800</v>
      </c>
    </row>
    <row r="629" spans="2:9">
      <c r="B629" s="9" t="s">
        <v>549</v>
      </c>
      <c r="C629" s="9" t="s">
        <v>401</v>
      </c>
      <c r="D629" s="9" t="s">
        <v>140</v>
      </c>
      <c r="E629" s="9" t="s">
        <v>705</v>
      </c>
      <c r="F629" s="33" t="s">
        <v>712</v>
      </c>
      <c r="G629" s="33">
        <v>1</v>
      </c>
      <c r="H629" s="33"/>
      <c r="I629" s="34">
        <v>12800</v>
      </c>
    </row>
    <row r="630" spans="2:9">
      <c r="B630" s="9" t="s">
        <v>549</v>
      </c>
      <c r="C630" s="9" t="s">
        <v>401</v>
      </c>
      <c r="D630" s="9" t="s">
        <v>140</v>
      </c>
      <c r="E630" s="9" t="s">
        <v>705</v>
      </c>
      <c r="F630" s="33" t="s">
        <v>713</v>
      </c>
      <c r="G630" s="33">
        <v>1</v>
      </c>
      <c r="H630" s="33"/>
      <c r="I630" s="34">
        <v>12800</v>
      </c>
    </row>
    <row r="631" spans="2:9">
      <c r="B631" s="9" t="s">
        <v>549</v>
      </c>
      <c r="C631" s="9" t="s">
        <v>401</v>
      </c>
      <c r="D631" s="9" t="s">
        <v>140</v>
      </c>
      <c r="E631" s="9" t="s">
        <v>705</v>
      </c>
      <c r="F631" s="33" t="s">
        <v>714</v>
      </c>
      <c r="G631" s="33">
        <v>1</v>
      </c>
      <c r="H631" s="33"/>
      <c r="I631" s="34">
        <v>12800</v>
      </c>
    </row>
    <row r="632" spans="2:9">
      <c r="B632" s="9" t="s">
        <v>549</v>
      </c>
      <c r="C632" s="9" t="s">
        <v>401</v>
      </c>
      <c r="D632" s="9" t="s">
        <v>140</v>
      </c>
      <c r="E632" s="9" t="s">
        <v>705</v>
      </c>
      <c r="F632" s="33" t="s">
        <v>715</v>
      </c>
      <c r="G632" s="33">
        <v>1</v>
      </c>
      <c r="H632" s="33"/>
      <c r="I632" s="34">
        <v>12800</v>
      </c>
    </row>
    <row r="633" spans="2:9">
      <c r="B633" s="9" t="s">
        <v>549</v>
      </c>
      <c r="C633" s="9" t="s">
        <v>401</v>
      </c>
      <c r="D633" s="9" t="s">
        <v>140</v>
      </c>
      <c r="E633" s="9" t="s">
        <v>705</v>
      </c>
      <c r="F633" s="33" t="s">
        <v>716</v>
      </c>
      <c r="G633" s="33">
        <v>1</v>
      </c>
      <c r="H633" s="33"/>
      <c r="I633" s="34">
        <v>32800</v>
      </c>
    </row>
    <row r="634" spans="2:9">
      <c r="B634" s="9" t="s">
        <v>549</v>
      </c>
      <c r="C634" s="9" t="s">
        <v>401</v>
      </c>
      <c r="D634" s="9" t="s">
        <v>140</v>
      </c>
      <c r="E634" s="9" t="s">
        <v>705</v>
      </c>
      <c r="F634" s="33" t="s">
        <v>717</v>
      </c>
      <c r="G634" s="33">
        <v>1</v>
      </c>
      <c r="H634" s="33"/>
      <c r="I634" s="34">
        <v>49800</v>
      </c>
    </row>
    <row r="635" spans="2:9">
      <c r="B635" s="9" t="s">
        <v>549</v>
      </c>
      <c r="C635" s="9" t="s">
        <v>401</v>
      </c>
      <c r="D635" s="9" t="s">
        <v>140</v>
      </c>
      <c r="E635" s="9" t="s">
        <v>705</v>
      </c>
      <c r="F635" s="33" t="s">
        <v>718</v>
      </c>
      <c r="G635" s="33">
        <v>1</v>
      </c>
      <c r="H635" s="33"/>
      <c r="I635" s="34">
        <v>4980</v>
      </c>
    </row>
    <row r="636" spans="2:9">
      <c r="B636" s="9" t="s">
        <v>549</v>
      </c>
      <c r="C636" s="9" t="s">
        <v>401</v>
      </c>
      <c r="D636" s="9" t="s">
        <v>140</v>
      </c>
      <c r="E636" s="9" t="s">
        <v>705</v>
      </c>
      <c r="F636" s="33" t="s">
        <v>719</v>
      </c>
      <c r="G636" s="33">
        <v>1</v>
      </c>
      <c r="H636" s="33"/>
      <c r="I636" s="34">
        <v>4980</v>
      </c>
    </row>
    <row r="637" spans="2:9">
      <c r="B637" s="9" t="s">
        <v>549</v>
      </c>
      <c r="C637" s="9" t="s">
        <v>401</v>
      </c>
      <c r="D637" s="9" t="s">
        <v>140</v>
      </c>
      <c r="E637" s="9" t="s">
        <v>705</v>
      </c>
      <c r="F637" s="33" t="s">
        <v>720</v>
      </c>
      <c r="G637" s="33">
        <v>1</v>
      </c>
      <c r="H637" s="33"/>
      <c r="I637" s="34">
        <v>6800</v>
      </c>
    </row>
    <row r="638" spans="2:9">
      <c r="B638" s="9" t="s">
        <v>549</v>
      </c>
      <c r="C638" s="9" t="s">
        <v>401</v>
      </c>
      <c r="D638" s="9" t="s">
        <v>140</v>
      </c>
      <c r="E638" s="9" t="s">
        <v>705</v>
      </c>
      <c r="F638" s="33" t="s">
        <v>721</v>
      </c>
      <c r="G638" s="33">
        <v>1</v>
      </c>
      <c r="H638" s="33"/>
      <c r="I638" s="34">
        <v>6980</v>
      </c>
    </row>
    <row r="639" spans="2:9">
      <c r="B639" s="9" t="s">
        <v>549</v>
      </c>
      <c r="C639" s="9" t="s">
        <v>401</v>
      </c>
      <c r="D639" s="9" t="s">
        <v>140</v>
      </c>
      <c r="E639" s="9" t="s">
        <v>705</v>
      </c>
      <c r="F639" s="33" t="s">
        <v>722</v>
      </c>
      <c r="G639" s="33">
        <v>1</v>
      </c>
      <c r="H639" s="33"/>
      <c r="I639" s="34">
        <v>8800</v>
      </c>
    </row>
    <row r="640" spans="2:9">
      <c r="B640" s="9" t="s">
        <v>549</v>
      </c>
      <c r="C640" s="9" t="s">
        <v>401</v>
      </c>
      <c r="D640" s="9" t="s">
        <v>140</v>
      </c>
      <c r="E640" s="9" t="s">
        <v>705</v>
      </c>
      <c r="F640" s="33" t="s">
        <v>723</v>
      </c>
      <c r="G640" s="33">
        <v>1</v>
      </c>
      <c r="H640" s="33"/>
      <c r="I640" s="34">
        <v>8800</v>
      </c>
    </row>
    <row r="641" spans="2:9">
      <c r="B641" s="9" t="s">
        <v>549</v>
      </c>
      <c r="C641" s="9" t="s">
        <v>401</v>
      </c>
      <c r="D641" s="9" t="s">
        <v>140</v>
      </c>
      <c r="E641" s="9" t="s">
        <v>705</v>
      </c>
      <c r="F641" s="33" t="s">
        <v>724</v>
      </c>
      <c r="G641" s="33">
        <v>1</v>
      </c>
      <c r="H641" s="33"/>
      <c r="I641" s="34">
        <v>8800</v>
      </c>
    </row>
    <row r="642" spans="2:9">
      <c r="B642" s="9" t="s">
        <v>549</v>
      </c>
      <c r="C642" s="9" t="s">
        <v>401</v>
      </c>
      <c r="D642" s="9" t="s">
        <v>140</v>
      </c>
      <c r="E642" s="9" t="s">
        <v>705</v>
      </c>
      <c r="F642" s="33" t="s">
        <v>519</v>
      </c>
      <c r="G642" s="33">
        <v>1</v>
      </c>
      <c r="H642" s="33"/>
      <c r="I642" s="34">
        <v>12800</v>
      </c>
    </row>
    <row r="643" spans="2:9">
      <c r="B643" s="9" t="s">
        <v>549</v>
      </c>
      <c r="C643" s="9" t="s">
        <v>401</v>
      </c>
      <c r="D643" s="9" t="s">
        <v>140</v>
      </c>
      <c r="E643" s="9" t="s">
        <v>705</v>
      </c>
      <c r="F643" s="33" t="s">
        <v>725</v>
      </c>
      <c r="G643" s="33">
        <v>1</v>
      </c>
      <c r="H643" s="33"/>
      <c r="I643" s="34">
        <v>12800</v>
      </c>
    </row>
    <row r="644" spans="2:9">
      <c r="B644" s="9" t="s">
        <v>549</v>
      </c>
      <c r="C644" s="9" t="s">
        <v>401</v>
      </c>
      <c r="D644" s="9" t="s">
        <v>140</v>
      </c>
      <c r="E644" s="9" t="s">
        <v>705</v>
      </c>
      <c r="F644" s="33" t="s">
        <v>726</v>
      </c>
      <c r="G644" s="33">
        <v>1</v>
      </c>
      <c r="H644" s="33"/>
      <c r="I644" s="34">
        <v>18800</v>
      </c>
    </row>
    <row r="645" spans="2:9">
      <c r="B645" s="9" t="s">
        <v>549</v>
      </c>
      <c r="C645" s="9" t="s">
        <v>401</v>
      </c>
      <c r="D645" s="9" t="s">
        <v>140</v>
      </c>
      <c r="E645" s="9" t="s">
        <v>705</v>
      </c>
      <c r="F645" s="33" t="s">
        <v>727</v>
      </c>
      <c r="G645" s="33">
        <v>1</v>
      </c>
      <c r="H645" s="33"/>
      <c r="I645" s="34">
        <v>32800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I645" etc:filterBottomFollowUsedRange="1">
    <extLst/>
  </autoFilter>
  <pageMargins left="0.75" right="0.75" top="1" bottom="1" header="0.511805555555556" footer="0.511805555555556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	c����S	��b蕗^	c����S	��b蕗^	c����S	��b蕗^	c����S	��b蕗^	c����S	��b蕗^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WWO_wpscloud_20260408181739-2e61b06350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数据中心</vt:lpstr>
      <vt:lpstr>数据中心 -手机界面-客量</vt:lpstr>
      <vt:lpstr>数据展示</vt:lpstr>
      <vt:lpstr>品项归类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张小呆。</cp:lastModifiedBy>
  <dcterms:created xsi:type="dcterms:W3CDTF">2018-06-07T08:28:00Z</dcterms:created>
  <dcterms:modified xsi:type="dcterms:W3CDTF">2026-04-21T05:37:22Z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C7921AD6521E47DFB1B65EB111F7F583_12</vt:lpwstr>
  </property>
  <property fmtid="{D5CDD505-2E9C-101B-9397-08002B2CF9AE}" pid="4" name="CalculationRule">
    <vt:i4>0</vt:i4>
  </property>
</Properties>
</file>