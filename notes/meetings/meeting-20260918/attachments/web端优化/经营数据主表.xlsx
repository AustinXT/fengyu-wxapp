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sers\Administrator\Desktop\web端优化\"/>
    </mc:Choice>
  </mc:AlternateContent>
  <bookViews>
    <workbookView windowWidth="27945" windowHeight="12975" firstSheet="1"/>
  </bookViews>
  <sheets>
    <sheet name="凤御·经营" sheetId="28" r:id="rId1"/>
    <sheet name="附件(标准）" sheetId="10" state="hidden" r:id="rId2"/>
  </sheets>
  <definedNames>
    <definedName name="_xlnm._FilterDatabase" localSheetId="0" hidden="1">凤御·经营!$B$4:$Y$13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weboffice</author>
    <author>Unknown User</author>
  </authors>
  <commentList>
    <comment ref="K3" authorId="0">
      <text>
        <r>
          <rPr>
            <sz val="9"/>
            <rFont val="宋体"/>
            <charset val="134"/>
          </rPr>
          <t>贺:
标准：金额≥1990元(抵卡不算)
1月统计1月
2月统计1-2月
3月统计1-3月
以此类推
注明：需删减重复消费人头</t>
        </r>
      </text>
    </comment>
    <comment ref="V3" authorId="1">
      <text>
        <r>
          <rPr>
            <b/>
            <sz val="9"/>
            <rFont val="宋体"/>
            <charset val="134"/>
          </rPr>
          <t>贺:</t>
        </r>
        <r>
          <rPr>
            <sz val="9"/>
            <rFont val="宋体"/>
            <charset val="134"/>
          </rPr>
          <t xml:space="preserve">
生美项目数</t>
        </r>
      </text>
    </comment>
    <comment ref="X3" authorId="0">
      <text>
        <r>
          <rPr>
            <sz val="9"/>
            <rFont val="宋体"/>
            <charset val="134"/>
          </rPr>
          <t>美容师+养生师操作的生美项目：
除去（美艺+抗衰+美芯+医美+其他合作）</t>
        </r>
      </text>
    </comment>
  </commentList>
</comments>
</file>

<file path=xl/sharedStrings.xml><?xml version="1.0" encoding="utf-8"?>
<sst xmlns="http://schemas.openxmlformats.org/spreadsheetml/2006/main" count="62" uniqueCount="54">
  <si>
    <r>
      <rPr>
        <b/>
        <sz val="12"/>
        <color rgb="FF000000"/>
        <rFont val="微软雅黑"/>
        <charset val="134"/>
      </rPr>
      <t>保有会员</t>
    </r>
    <r>
      <rPr>
        <sz val="12"/>
        <color rgb="FF000000"/>
        <rFont val="微软雅黑"/>
        <charset val="134"/>
      </rPr>
      <t>（售前不算）</t>
    </r>
    <r>
      <rPr>
        <b/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会员标准：单笔订单≥1990元(</t>
    </r>
    <r>
      <rPr>
        <sz val="10"/>
        <color rgb="FF000000"/>
        <rFont val="微软雅黑"/>
        <charset val="134"/>
      </rPr>
      <t>购买疗程有余卡顾客</t>
    </r>
    <r>
      <rPr>
        <sz val="12"/>
        <color rgb="FF000000"/>
        <rFont val="微软雅黑"/>
        <charset val="134"/>
      </rPr>
      <t>)</t>
    </r>
    <r>
      <rPr>
        <b/>
        <sz val="12"/>
        <color rgb="FF000000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 xml:space="preserve">当月回店1次的人头目标：80%
当月回店人头到店2次的目标：60%
</t>
    </r>
  </si>
  <si>
    <r>
      <rPr>
        <b/>
        <sz val="12"/>
        <color rgb="FF000000"/>
        <rFont val="微软雅黑"/>
        <charset val="134"/>
      </rPr>
      <t>被经营顾客目标</t>
    </r>
    <r>
      <rPr>
        <sz val="12"/>
        <color rgb="FF000000"/>
        <rFont val="微软雅黑"/>
        <charset val="134"/>
      </rPr>
      <t xml:space="preserve">(拆分季度/月度)
</t>
    </r>
    <r>
      <rPr>
        <b/>
        <sz val="11"/>
        <color rgb="FFFF0000"/>
        <rFont val="微软雅黑"/>
        <charset val="134"/>
      </rPr>
      <t>核算标准：消费≥1990算人数</t>
    </r>
    <r>
      <rPr>
        <b/>
        <sz val="12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一季度目标:20%-30%，二季度目标:50%-60%
三季度目标:70%-80%，四季度目标:100%完成</t>
    </r>
  </si>
  <si>
    <t>销售业绩目标</t>
  </si>
  <si>
    <r>
      <rPr>
        <b/>
        <sz val="12"/>
        <color rgb="FF000000"/>
        <rFont val="微软雅黑"/>
        <charset val="134"/>
      </rPr>
      <t>客流及客耗</t>
    </r>
    <r>
      <rPr>
        <sz val="12"/>
        <color rgb="FF000000"/>
        <rFont val="微软雅黑"/>
        <charset val="134"/>
      </rPr>
      <t xml:space="preserve">
美容师:</t>
    </r>
    <r>
      <rPr>
        <sz val="11"/>
        <color rgb="FF000000"/>
        <rFont val="微软雅黑"/>
        <charset val="134"/>
      </rPr>
      <t>3人/250客流 4人/300客量 5人/400客流</t>
    </r>
    <r>
      <rPr>
        <sz val="12"/>
        <color rgb="FF000000"/>
        <rFont val="微软雅黑"/>
        <charset val="134"/>
      </rPr>
      <t xml:space="preserve">
美容师消耗：每天1000元
</t>
    </r>
    <r>
      <rPr>
        <sz val="11"/>
        <color rgb="FFFF0000"/>
        <rFont val="微软雅黑"/>
        <charset val="134"/>
      </rPr>
      <t>客流目标：售前20%  售后80%</t>
    </r>
    <r>
      <rPr>
        <sz val="11"/>
        <color rgb="FF000000"/>
        <rFont val="微软雅黑"/>
        <charset val="134"/>
      </rPr>
      <t xml:space="preserve">
</t>
    </r>
  </si>
  <si>
    <t>市场</t>
  </si>
  <si>
    <t>门店</t>
  </si>
  <si>
    <t>美容师
人数</t>
  </si>
  <si>
    <r>
      <rPr>
        <sz val="11"/>
        <color rgb="FF000000"/>
        <rFont val="微软雅黑"/>
        <charset val="134"/>
      </rPr>
      <t xml:space="preserve">保有会员
</t>
    </r>
    <r>
      <rPr>
        <sz val="10"/>
        <color rgb="FFFF0000"/>
        <rFont val="微软雅黑"/>
        <charset val="134"/>
      </rPr>
      <t>前三月有回店1次人头数</t>
    </r>
  </si>
  <si>
    <t>回店1次
当月人头</t>
  </si>
  <si>
    <t>回店1次
达成率</t>
  </si>
  <si>
    <t>回店≥2次
当月人头</t>
  </si>
  <si>
    <t>回店≥2次
达成率</t>
  </si>
  <si>
    <t>被经营顾客
年度目标</t>
  </si>
  <si>
    <t>被经营顾客
年度消费人数</t>
  </si>
  <si>
    <t>被经营顾客
当月消费人数</t>
  </si>
  <si>
    <r>
      <rPr>
        <sz val="11"/>
        <color rgb="FF000000"/>
        <rFont val="微软雅黑"/>
        <charset val="134"/>
      </rPr>
      <t xml:space="preserve">被经营率
</t>
    </r>
    <r>
      <rPr>
        <sz val="10"/>
        <color rgb="FFFF0000"/>
        <rFont val="微软雅黑"/>
        <charset val="134"/>
      </rPr>
      <t>年度标准60%</t>
    </r>
  </si>
  <si>
    <t>年度销售
业绩目标</t>
  </si>
  <si>
    <t>当月业绩
目标</t>
  </si>
  <si>
    <t>当月
完成</t>
  </si>
  <si>
    <t>当月
完成率</t>
  </si>
  <si>
    <t>年度
累计达成</t>
  </si>
  <si>
    <t>当月
客流</t>
  </si>
  <si>
    <t>当月
售前客流</t>
  </si>
  <si>
    <t>当月
售后客流</t>
  </si>
  <si>
    <t>当月
项目数</t>
  </si>
  <si>
    <t>当月
总实耗</t>
  </si>
  <si>
    <t>当月
生美实耗</t>
  </si>
  <si>
    <t>单次
生美客耗</t>
  </si>
  <si>
    <t>自贡</t>
  </si>
  <si>
    <t>汇东店</t>
  </si>
  <si>
    <t>南湖店</t>
  </si>
  <si>
    <t>吉祥店</t>
  </si>
  <si>
    <t>旭阳店</t>
  </si>
  <si>
    <t>贡井店</t>
  </si>
  <si>
    <t>富豪店</t>
  </si>
  <si>
    <t>恒太店</t>
  </si>
  <si>
    <t>双美店</t>
  </si>
  <si>
    <t>合计</t>
  </si>
  <si>
    <t>会员标准：</t>
  </si>
  <si>
    <t>1，有疗程的顾客</t>
  </si>
  <si>
    <t>2，有疗程卡次≥2次</t>
  </si>
  <si>
    <t>3，转让店卡次≥2次（有到店护理）</t>
  </si>
  <si>
    <t>非会员标准：</t>
  </si>
  <si>
    <t>1、只消费单次</t>
  </si>
  <si>
    <t>2、转让店（从未到店护理）</t>
  </si>
  <si>
    <t>3、无联系方式</t>
  </si>
  <si>
    <t>保有会员:</t>
  </si>
  <si>
    <t>近3个月有到店1次及以上的会员</t>
  </si>
  <si>
    <t>本月是3月:</t>
  </si>
  <si>
    <t>统计保有会员是统计24年12-25年2月份的</t>
  </si>
  <si>
    <t>下个月是4月份:</t>
  </si>
  <si>
    <t>统计保有会员是统计25年1月-3月的</t>
  </si>
  <si>
    <t>数据业绩</t>
  </si>
  <si>
    <t>填写数据无需进位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</si>
</sst>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k"/>
    <numFmt numFmtId="177" formatCode="0_ "/>
    <numFmt numFmtId="178" formatCode="#&quot;店&quot;"/>
  </numFmts>
  <fonts count="34">
    <font>
      <sz val="11"/>
      <name val="宋体"/>
      <charset val="134"/>
    </font>
    <font>
      <b/>
      <sz val="22"/>
      <color rgb="FF000000"/>
      <name val="微软雅黑"/>
      <charset val="134"/>
    </font>
    <font>
      <b/>
      <sz val="22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22"/>
      <color rgb="FF0A16F9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11"/>
      <color rgb="FFFF0000"/>
      <name val="微软雅黑"/>
      <charset val="134"/>
    </font>
    <font>
      <sz val="10"/>
      <color rgb="FF00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E0FF"/>
        <bgColor indexed="64"/>
      </patternFill>
    </fill>
    <fill>
      <patternFill patternType="solid">
        <fgColor rgb="FFD0D9A9"/>
        <bgColor indexed="64"/>
      </patternFill>
    </fill>
    <fill>
      <patternFill patternType="solid">
        <fgColor rgb="FFFFC9C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FEB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/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medium">
        <color rgb="FF000000"/>
      </right>
      <top style="medium">
        <color rgb="FF000000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000000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1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12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9" fontId="6" fillId="5" borderId="8" xfId="0" applyNumberFormat="1" applyFont="1" applyFill="1" applyBorder="1" applyAlignment="1">
      <alignment horizontal="center" vertical="center" wrapText="1"/>
    </xf>
    <xf numFmtId="176" fontId="6" fillId="6" borderId="9" xfId="0" applyNumberFormat="1" applyFont="1" applyFill="1" applyBorder="1" applyAlignment="1">
      <alignment horizontal="center" vertical="center"/>
    </xf>
    <xf numFmtId="177" fontId="7" fillId="6" borderId="7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77" fontId="7" fillId="6" borderId="8" xfId="0" applyNumberFormat="1" applyFont="1" applyFill="1" applyBorder="1" applyAlignment="1">
      <alignment horizontal="center" vertical="center"/>
    </xf>
    <xf numFmtId="177" fontId="6" fillId="7" borderId="9" xfId="0" applyNumberFormat="1" applyFont="1" applyFill="1" applyBorder="1" applyAlignment="1">
      <alignment horizontal="center" vertical="center" wrapText="1"/>
    </xf>
    <xf numFmtId="177" fontId="7" fillId="7" borderId="7" xfId="0" applyNumberFormat="1" applyFont="1" applyFill="1" applyBorder="1" applyAlignment="1">
      <alignment horizontal="center" vertical="center" wrapText="1"/>
    </xf>
    <xf numFmtId="177" fontId="7" fillId="7" borderId="7" xfId="0" applyNumberFormat="1" applyFont="1" applyFill="1" applyBorder="1" applyAlignment="1">
      <alignment horizontal="center" vertical="center"/>
    </xf>
    <xf numFmtId="177" fontId="7" fillId="7" borderId="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 wrapText="1"/>
    </xf>
    <xf numFmtId="0" fontId="4" fillId="4" borderId="12" xfId="0" applyFont="1" applyFill="1" applyBorder="1" applyAlignment="1">
      <alignment horizontal="center" vertical="top" wrapText="1"/>
    </xf>
    <xf numFmtId="0" fontId="4" fillId="4" borderId="13" xfId="0" applyFont="1" applyFill="1" applyBorder="1" applyAlignment="1">
      <alignment horizontal="center" vertical="top" wrapText="1"/>
    </xf>
    <xf numFmtId="0" fontId="4" fillId="4" borderId="14" xfId="0" applyFont="1" applyFill="1" applyBorder="1" applyAlignment="1">
      <alignment horizontal="center" vertical="top" wrapText="1"/>
    </xf>
    <xf numFmtId="0" fontId="4" fillId="5" borderId="15" xfId="0" applyFont="1" applyFill="1" applyBorder="1" applyAlignment="1">
      <alignment horizontal="center" vertical="top" wrapText="1"/>
    </xf>
    <xf numFmtId="0" fontId="4" fillId="5" borderId="13" xfId="0" applyFont="1" applyFill="1" applyBorder="1" applyAlignment="1">
      <alignment horizontal="center" vertical="top" wrapText="1"/>
    </xf>
    <xf numFmtId="9" fontId="4" fillId="5" borderId="14" xfId="0" applyNumberFormat="1" applyFont="1" applyFill="1" applyBorder="1" applyAlignment="1">
      <alignment horizontal="center" vertical="top" wrapText="1"/>
    </xf>
    <xf numFmtId="0" fontId="4" fillId="6" borderId="15" xfId="0" applyFont="1" applyFill="1" applyBorder="1" applyAlignment="1">
      <alignment horizontal="center" vertical="top" wrapText="1"/>
    </xf>
    <xf numFmtId="0" fontId="4" fillId="6" borderId="13" xfId="0" applyFont="1" applyFill="1" applyBorder="1" applyAlignment="1">
      <alignment horizontal="center" vertical="top" wrapText="1"/>
    </xf>
    <xf numFmtId="177" fontId="4" fillId="6" borderId="13" xfId="0" applyNumberFormat="1" applyFont="1" applyFill="1" applyBorder="1" applyAlignment="1">
      <alignment horizontal="center" vertical="top" wrapText="1"/>
    </xf>
    <xf numFmtId="177" fontId="4" fillId="6" borderId="14" xfId="0" applyNumberFormat="1" applyFont="1" applyFill="1" applyBorder="1" applyAlignment="1">
      <alignment horizontal="center" vertical="top" wrapText="1"/>
    </xf>
    <xf numFmtId="177" fontId="4" fillId="7" borderId="15" xfId="0" applyNumberFormat="1" applyFont="1" applyFill="1" applyBorder="1" applyAlignment="1">
      <alignment horizontal="center" vertical="top" wrapText="1"/>
    </xf>
    <xf numFmtId="177" fontId="4" fillId="7" borderId="13" xfId="0" applyNumberFormat="1" applyFont="1" applyFill="1" applyBorder="1" applyAlignment="1">
      <alignment horizontal="center" vertical="top" wrapText="1"/>
    </xf>
    <xf numFmtId="0" fontId="4" fillId="7" borderId="14" xfId="0" applyFont="1" applyFill="1" applyBorder="1" applyAlignment="1">
      <alignment horizontal="center" vertical="top" wrapText="1"/>
    </xf>
    <xf numFmtId="178" fontId="4" fillId="2" borderId="16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9" fontId="4" fillId="8" borderId="13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9" fontId="4" fillId="8" borderId="14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76" fontId="4" fillId="8" borderId="15" xfId="0" applyNumberFormat="1" applyFont="1" applyFill="1" applyBorder="1" applyAlignment="1">
      <alignment horizontal="center" vertical="center"/>
    </xf>
    <xf numFmtId="177" fontId="4" fillId="2" borderId="13" xfId="0" applyNumberFormat="1" applyFont="1" applyFill="1" applyBorder="1" applyAlignment="1">
      <alignment horizontal="center" vertical="center"/>
    </xf>
    <xf numFmtId="177" fontId="4" fillId="8" borderId="15" xfId="0" applyNumberFormat="1" applyFont="1" applyFill="1" applyBorder="1" applyAlignment="1">
      <alignment horizontal="center" vertical="center"/>
    </xf>
    <xf numFmtId="177" fontId="4" fillId="8" borderId="14" xfId="0" applyNumberFormat="1" applyFont="1" applyFill="1" applyBorder="1" applyAlignment="1">
      <alignment horizontal="center" vertical="center"/>
    </xf>
    <xf numFmtId="178" fontId="4" fillId="2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9" fontId="4" fillId="8" borderId="13" xfId="0" applyNumberFormat="1" applyFont="1" applyFill="1" applyBorder="1" applyAlignment="1" applyProtection="1">
      <alignment horizontal="center" vertical="center"/>
      <protection locked="0"/>
    </xf>
    <xf numFmtId="9" fontId="4" fillId="8" borderId="14" xfId="0" applyNumberFormat="1" applyFont="1" applyFill="1" applyBorder="1" applyAlignment="1" applyProtection="1">
      <alignment horizontal="center" vertical="center"/>
      <protection locked="0"/>
    </xf>
    <xf numFmtId="177" fontId="4" fillId="8" borderId="15" xfId="0" applyNumberFormat="1" applyFont="1" applyFill="1" applyBorder="1" applyAlignment="1" applyProtection="1">
      <alignment horizontal="center" vertical="center"/>
      <protection locked="0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9" fontId="3" fillId="4" borderId="13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176" fontId="3" fillId="6" borderId="15" xfId="0" applyNumberFormat="1" applyFont="1" applyFill="1" applyBorder="1" applyAlignment="1">
      <alignment horizontal="center" vertical="center"/>
    </xf>
    <xf numFmtId="177" fontId="3" fillId="6" borderId="13" xfId="0" applyNumberFormat="1" applyFont="1" applyFill="1" applyBorder="1" applyAlignment="1">
      <alignment horizontal="center" vertical="center"/>
    </xf>
    <xf numFmtId="9" fontId="3" fillId="6" borderId="13" xfId="0" applyNumberFormat="1" applyFont="1" applyFill="1" applyBorder="1" applyAlignment="1">
      <alignment horizontal="center" vertical="center"/>
    </xf>
    <xf numFmtId="177" fontId="3" fillId="6" borderId="14" xfId="0" applyNumberFormat="1" applyFont="1" applyFill="1" applyBorder="1" applyAlignment="1">
      <alignment horizontal="center" vertical="center"/>
    </xf>
    <xf numFmtId="177" fontId="3" fillId="7" borderId="15" xfId="0" applyNumberFormat="1" applyFont="1" applyFill="1" applyBorder="1" applyAlignment="1">
      <alignment horizontal="center" vertical="center"/>
    </xf>
    <xf numFmtId="177" fontId="3" fillId="7" borderId="13" xfId="0" applyNumberFormat="1" applyFont="1" applyFill="1" applyBorder="1" applyAlignment="1">
      <alignment horizontal="center" vertical="center"/>
    </xf>
    <xf numFmtId="177" fontId="3" fillId="7" borderId="1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ont>
        <color rgb="FF000000"/>
      </font>
      <fill>
        <patternFill patternType="solid">
          <bgColor rgb="FFFF0000"/>
        </patternFill>
      </fill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1" defaultTableStyle="TableStyleMedium2" defaultPivotStyle="PivotStylePreset2_Accent1 1">
    <tableStyle name="PivotStylePreset2_Accent1 1" table="0" count="10" xr9:uid="{30E932A1-E189-4080-8C19-4F12D6DB2912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5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2626"/>
  </sheetPr>
  <dimension ref="B1:Y13"/>
  <sheetViews>
    <sheetView tabSelected="1" workbookViewId="0">
      <pane xSplit="4" ySplit="4" topLeftCell="F5" activePane="bottomRight" state="frozen"/>
      <selection/>
      <selection pane="topRight"/>
      <selection pane="bottomLeft"/>
      <selection pane="bottomRight" activeCell="D17" sqref="D17"/>
    </sheetView>
  </sheetViews>
  <sheetFormatPr defaultColWidth="9" defaultRowHeight="16.5"/>
  <cols>
    <col min="1" max="1" width="0.633333333333333" style="6" customWidth="1"/>
    <col min="2" max="2" width="7.775" style="6" customWidth="1"/>
    <col min="3" max="3" width="8.5" style="5" customWidth="1"/>
    <col min="4" max="4" width="6.88333333333333" style="6" customWidth="1"/>
    <col min="5" max="5" width="10" style="6" customWidth="1"/>
    <col min="6" max="6" width="9.75" style="6" customWidth="1"/>
    <col min="7" max="7" width="7.63333333333333" style="6" customWidth="1"/>
    <col min="8" max="8" width="9.53333333333333" style="6" customWidth="1"/>
    <col min="9" max="9" width="10.3916666666667" style="6" customWidth="1"/>
    <col min="10" max="10" width="10" style="6" customWidth="1"/>
    <col min="11" max="11" width="10.6916666666667" style="6" customWidth="1"/>
    <col min="12" max="12" width="12.25" style="6" customWidth="1"/>
    <col min="13" max="13" width="14.0666666666667" style="6" customWidth="1"/>
    <col min="14" max="14" width="9.21666666666667" style="7" customWidth="1"/>
    <col min="15" max="15" width="10.3833333333333" style="8" customWidth="1"/>
    <col min="16" max="16" width="10.3833333333333" style="6" customWidth="1"/>
    <col min="17" max="17" width="10.25" style="6" customWidth="1"/>
    <col min="18" max="18" width="11.25" style="6" customWidth="1"/>
    <col min="19" max="22" width="8.28333333333333" style="8" customWidth="1"/>
    <col min="23" max="23" width="10.4166666666667" style="8" customWidth="1"/>
    <col min="24" max="24" width="10.4166666666667" style="6" customWidth="1"/>
    <col min="25" max="25" width="8.28333333333333" style="8" customWidth="1"/>
    <col min="26" max="16384" width="9" style="6"/>
  </cols>
  <sheetData>
    <row r="1" ht="5" customHeight="1"/>
    <row r="2" ht="71.25" customHeight="1" spans="2:25">
      <c r="B2" s="9"/>
      <c r="C2" s="9"/>
      <c r="D2" s="10"/>
      <c r="E2" s="11" t="s">
        <v>0</v>
      </c>
      <c r="F2" s="12"/>
      <c r="G2" s="12"/>
      <c r="H2" s="12"/>
      <c r="I2" s="13"/>
      <c r="J2" s="14" t="s">
        <v>1</v>
      </c>
      <c r="K2" s="15"/>
      <c r="L2" s="15"/>
      <c r="M2" s="16"/>
      <c r="N2" s="17" t="s">
        <v>2</v>
      </c>
      <c r="O2" s="18"/>
      <c r="P2" s="18"/>
      <c r="Q2" s="19"/>
      <c r="R2" s="20"/>
      <c r="S2" s="21" t="s">
        <v>3</v>
      </c>
      <c r="T2" s="22"/>
      <c r="U2" s="22"/>
      <c r="V2" s="22"/>
      <c r="W2" s="22"/>
      <c r="X2" s="23"/>
      <c r="Y2" s="24"/>
    </row>
    <row r="3" ht="26.25" customHeight="1" spans="2:25">
      <c r="B3" s="25" t="s">
        <v>4</v>
      </c>
      <c r="C3" s="25" t="s">
        <v>5</v>
      </c>
      <c r="D3" s="26" t="s">
        <v>6</v>
      </c>
      <c r="E3" s="27" t="s">
        <v>7</v>
      </c>
      <c r="F3" s="28" t="s">
        <v>8</v>
      </c>
      <c r="G3" s="28" t="s">
        <v>9</v>
      </c>
      <c r="H3" s="28" t="s">
        <v>10</v>
      </c>
      <c r="I3" s="29" t="s">
        <v>11</v>
      </c>
      <c r="J3" s="30" t="s">
        <v>12</v>
      </c>
      <c r="K3" s="31" t="s">
        <v>13</v>
      </c>
      <c r="L3" s="31" t="s">
        <v>14</v>
      </c>
      <c r="M3" s="32" t="s">
        <v>15</v>
      </c>
      <c r="N3" s="33" t="s">
        <v>16</v>
      </c>
      <c r="O3" s="34" t="s">
        <v>17</v>
      </c>
      <c r="P3" s="35" t="s">
        <v>18</v>
      </c>
      <c r="Q3" s="34" t="s">
        <v>19</v>
      </c>
      <c r="R3" s="36" t="s">
        <v>20</v>
      </c>
      <c r="S3" s="37" t="s">
        <v>21</v>
      </c>
      <c r="T3" s="38" t="s">
        <v>22</v>
      </c>
      <c r="U3" s="38" t="s">
        <v>23</v>
      </c>
      <c r="V3" s="38" t="s">
        <v>24</v>
      </c>
      <c r="W3" s="38" t="s">
        <v>25</v>
      </c>
      <c r="X3" s="38" t="s">
        <v>26</v>
      </c>
      <c r="Y3" s="39" t="s">
        <v>27</v>
      </c>
    </row>
    <row r="4" ht="26.25" customHeight="1" spans="2:25">
      <c r="B4" s="25"/>
      <c r="C4" s="25"/>
      <c r="D4" s="26"/>
      <c r="E4" s="27"/>
      <c r="F4" s="28"/>
      <c r="G4" s="28"/>
      <c r="H4" s="28"/>
      <c r="I4" s="29"/>
      <c r="J4" s="30"/>
      <c r="K4" s="31"/>
      <c r="L4" s="31"/>
      <c r="M4" s="32"/>
      <c r="N4" s="33"/>
      <c r="O4" s="34"/>
      <c r="P4" s="35"/>
      <c r="Q4" s="34"/>
      <c r="R4" s="36"/>
      <c r="S4" s="37"/>
      <c r="T4" s="38"/>
      <c r="U4" s="38"/>
      <c r="V4" s="38"/>
      <c r="W4" s="38"/>
      <c r="X4" s="38"/>
      <c r="Y4" s="39"/>
    </row>
    <row r="5" ht="17" customHeight="1" spans="2:25">
      <c r="B5" s="40" t="s">
        <v>28</v>
      </c>
      <c r="C5" s="41" t="s">
        <v>29</v>
      </c>
      <c r="D5" s="42">
        <v>4</v>
      </c>
      <c r="E5" s="43">
        <v>140</v>
      </c>
      <c r="F5" s="44">
        <v>105</v>
      </c>
      <c r="G5" s="45">
        <f t="shared" ref="G5:G13" si="0">+IFERROR(F5/E5,0)</f>
        <v>0.75</v>
      </c>
      <c r="H5" s="46">
        <v>64</v>
      </c>
      <c r="I5" s="47">
        <f t="shared" ref="I5:I13" si="1">+IFERROR(H5/F5,0)</f>
        <v>0.60952380952381</v>
      </c>
      <c r="J5" s="48">
        <v>100</v>
      </c>
      <c r="K5" s="44">
        <v>20</v>
      </c>
      <c r="L5" s="44">
        <v>20</v>
      </c>
      <c r="M5" s="47">
        <f t="shared" ref="M5:M13" si="2">+IFERROR(K5/E5,0)</f>
        <v>0.142857142857143</v>
      </c>
      <c r="N5" s="49">
        <v>240</v>
      </c>
      <c r="O5" s="50">
        <v>150000</v>
      </c>
      <c r="P5" s="50">
        <v>178379</v>
      </c>
      <c r="Q5" s="45">
        <f t="shared" ref="Q5:Q13" si="3">+IFERROR(P5/O5,0)</f>
        <v>1.18919333333333</v>
      </c>
      <c r="R5" s="50">
        <f>+P5</f>
        <v>178379</v>
      </c>
      <c r="S5" s="51">
        <f t="shared" ref="S5:S12" si="4">+T5+U5</f>
        <v>301</v>
      </c>
      <c r="T5" s="50">
        <v>1</v>
      </c>
      <c r="U5" s="50">
        <v>300</v>
      </c>
      <c r="V5" s="50">
        <v>388</v>
      </c>
      <c r="W5" s="50">
        <v>216619.3</v>
      </c>
      <c r="X5" s="50">
        <v>97499.6</v>
      </c>
      <c r="Y5" s="52">
        <f>+IFERROR(X5/U5,0)</f>
        <v>324.998666666667</v>
      </c>
    </row>
    <row r="6" ht="17" customHeight="1" spans="2:25">
      <c r="B6" s="53" t="s">
        <v>28</v>
      </c>
      <c r="C6" s="54" t="s">
        <v>30</v>
      </c>
      <c r="D6" s="55">
        <v>4</v>
      </c>
      <c r="E6" s="43">
        <v>185</v>
      </c>
      <c r="F6" s="44">
        <v>175</v>
      </c>
      <c r="G6" s="56">
        <f t="shared" si="0"/>
        <v>0.945945945945946</v>
      </c>
      <c r="H6" s="46">
        <v>98</v>
      </c>
      <c r="I6" s="57">
        <f t="shared" si="1"/>
        <v>0.56</v>
      </c>
      <c r="J6" s="48">
        <v>100</v>
      </c>
      <c r="K6" s="44">
        <v>16</v>
      </c>
      <c r="L6" s="44">
        <v>16</v>
      </c>
      <c r="M6" s="57">
        <f t="shared" si="2"/>
        <v>0.0864864864864865</v>
      </c>
      <c r="N6" s="49">
        <v>200</v>
      </c>
      <c r="O6" s="50">
        <v>130000</v>
      </c>
      <c r="P6" s="50">
        <v>94181</v>
      </c>
      <c r="Q6" s="45">
        <f t="shared" si="3"/>
        <v>0.724469230769231</v>
      </c>
      <c r="R6" s="50">
        <f t="shared" ref="R6:R12" si="5">+P6</f>
        <v>94181</v>
      </c>
      <c r="S6" s="58">
        <f t="shared" si="4"/>
        <v>402</v>
      </c>
      <c r="T6" s="50">
        <v>28</v>
      </c>
      <c r="U6" s="50">
        <v>374</v>
      </c>
      <c r="V6" s="50">
        <v>514</v>
      </c>
      <c r="W6" s="50">
        <v>117556.9</v>
      </c>
      <c r="X6" s="50">
        <v>99518.4</v>
      </c>
      <c r="Y6" s="52">
        <f t="shared" ref="Y6:Y14" si="6">+IFERROR(X6/U6,0)</f>
        <v>266.091978609626</v>
      </c>
    </row>
    <row r="7" ht="17" customHeight="1" spans="2:25">
      <c r="B7" s="53" t="s">
        <v>28</v>
      </c>
      <c r="C7" s="54" t="s">
        <v>31</v>
      </c>
      <c r="D7" s="55">
        <v>3</v>
      </c>
      <c r="E7" s="43">
        <v>100</v>
      </c>
      <c r="F7" s="44">
        <v>80</v>
      </c>
      <c r="G7" s="56">
        <f t="shared" si="0"/>
        <v>0.8</v>
      </c>
      <c r="H7" s="46">
        <v>44</v>
      </c>
      <c r="I7" s="57">
        <f t="shared" si="1"/>
        <v>0.55</v>
      </c>
      <c r="J7" s="48">
        <v>85</v>
      </c>
      <c r="K7" s="44">
        <v>16</v>
      </c>
      <c r="L7" s="44">
        <v>16</v>
      </c>
      <c r="M7" s="57">
        <f t="shared" si="2"/>
        <v>0.16</v>
      </c>
      <c r="N7" s="49">
        <v>165</v>
      </c>
      <c r="O7" s="50">
        <v>120000</v>
      </c>
      <c r="P7" s="50">
        <v>100720</v>
      </c>
      <c r="Q7" s="45">
        <f t="shared" si="3"/>
        <v>0.839333333333333</v>
      </c>
      <c r="R7" s="50">
        <f t="shared" si="5"/>
        <v>100720</v>
      </c>
      <c r="S7" s="58">
        <f t="shared" si="4"/>
        <v>198</v>
      </c>
      <c r="T7" s="50">
        <v>4</v>
      </c>
      <c r="U7" s="50">
        <v>194</v>
      </c>
      <c r="V7" s="50">
        <v>219</v>
      </c>
      <c r="W7" s="50">
        <v>97316.4</v>
      </c>
      <c r="X7" s="50">
        <v>50264.1</v>
      </c>
      <c r="Y7" s="52">
        <f t="shared" si="6"/>
        <v>259.093298969072</v>
      </c>
    </row>
    <row r="8" ht="17" customHeight="1" spans="2:25">
      <c r="B8" s="53" t="s">
        <v>28</v>
      </c>
      <c r="C8" s="54" t="s">
        <v>32</v>
      </c>
      <c r="D8" s="55">
        <v>4</v>
      </c>
      <c r="E8" s="43">
        <v>118</v>
      </c>
      <c r="F8" s="44">
        <v>72</v>
      </c>
      <c r="G8" s="56">
        <f t="shared" si="0"/>
        <v>0.610169491525424</v>
      </c>
      <c r="H8" s="46">
        <v>51</v>
      </c>
      <c r="I8" s="57">
        <f t="shared" si="1"/>
        <v>0.708333333333333</v>
      </c>
      <c r="J8" s="48">
        <v>80</v>
      </c>
      <c r="K8" s="44">
        <v>11</v>
      </c>
      <c r="L8" s="44">
        <v>11</v>
      </c>
      <c r="M8" s="57">
        <f t="shared" si="2"/>
        <v>0.0932203389830508</v>
      </c>
      <c r="N8" s="49">
        <v>135</v>
      </c>
      <c r="O8" s="50">
        <v>120000</v>
      </c>
      <c r="P8" s="50">
        <v>47711</v>
      </c>
      <c r="Q8" s="45">
        <f t="shared" si="3"/>
        <v>0.397591666666667</v>
      </c>
      <c r="R8" s="50">
        <f t="shared" si="5"/>
        <v>47711</v>
      </c>
      <c r="S8" s="58">
        <f t="shared" si="4"/>
        <v>215</v>
      </c>
      <c r="T8" s="50">
        <v>28</v>
      </c>
      <c r="U8" s="50">
        <v>187</v>
      </c>
      <c r="V8" s="50">
        <v>329</v>
      </c>
      <c r="W8" s="50">
        <v>101744.5</v>
      </c>
      <c r="X8" s="50">
        <v>57167.6</v>
      </c>
      <c r="Y8" s="52">
        <f t="shared" si="6"/>
        <v>305.709090909091</v>
      </c>
    </row>
    <row r="9" ht="17" customHeight="1" spans="2:25">
      <c r="B9" s="53" t="s">
        <v>28</v>
      </c>
      <c r="C9" s="54" t="s">
        <v>33</v>
      </c>
      <c r="D9" s="55">
        <v>2</v>
      </c>
      <c r="E9" s="43">
        <v>138</v>
      </c>
      <c r="F9" s="44">
        <v>87</v>
      </c>
      <c r="G9" s="56">
        <f t="shared" si="0"/>
        <v>0.630434782608696</v>
      </c>
      <c r="H9" s="46">
        <v>61</v>
      </c>
      <c r="I9" s="57">
        <f t="shared" si="1"/>
        <v>0.701149425287356</v>
      </c>
      <c r="J9" s="48">
        <v>85</v>
      </c>
      <c r="K9" s="44">
        <v>20</v>
      </c>
      <c r="L9" s="44">
        <v>20</v>
      </c>
      <c r="M9" s="57">
        <f t="shared" si="2"/>
        <v>0.144927536231884</v>
      </c>
      <c r="N9" s="49">
        <v>180</v>
      </c>
      <c r="O9" s="50">
        <v>120000</v>
      </c>
      <c r="P9" s="50">
        <v>94032</v>
      </c>
      <c r="Q9" s="45">
        <f t="shared" si="3"/>
        <v>0.7836</v>
      </c>
      <c r="R9" s="50">
        <f t="shared" si="5"/>
        <v>94032</v>
      </c>
      <c r="S9" s="58">
        <f t="shared" si="4"/>
        <v>245</v>
      </c>
      <c r="T9" s="50">
        <v>3</v>
      </c>
      <c r="U9" s="50">
        <v>242</v>
      </c>
      <c r="V9" s="50">
        <v>254</v>
      </c>
      <c r="W9" s="50">
        <v>95955.3</v>
      </c>
      <c r="X9" s="50">
        <v>51229</v>
      </c>
      <c r="Y9" s="52">
        <f t="shared" si="6"/>
        <v>211.690082644628</v>
      </c>
    </row>
    <row r="10" ht="17" customHeight="1" spans="2:25">
      <c r="B10" s="53" t="s">
        <v>28</v>
      </c>
      <c r="C10" s="54" t="s">
        <v>34</v>
      </c>
      <c r="D10" s="55">
        <v>4</v>
      </c>
      <c r="E10" s="43">
        <v>152</v>
      </c>
      <c r="F10" s="44">
        <v>135</v>
      </c>
      <c r="G10" s="56">
        <f t="shared" si="0"/>
        <v>0.888157894736842</v>
      </c>
      <c r="H10" s="46">
        <v>84</v>
      </c>
      <c r="I10" s="57">
        <f t="shared" si="1"/>
        <v>0.622222222222222</v>
      </c>
      <c r="J10" s="48">
        <v>80</v>
      </c>
      <c r="K10" s="44">
        <v>12</v>
      </c>
      <c r="L10" s="44">
        <v>12</v>
      </c>
      <c r="M10" s="57">
        <f t="shared" si="2"/>
        <v>0.0789473684210526</v>
      </c>
      <c r="N10" s="49">
        <v>144</v>
      </c>
      <c r="O10" s="50">
        <v>120000</v>
      </c>
      <c r="P10" s="50">
        <v>57840</v>
      </c>
      <c r="Q10" s="45">
        <f t="shared" si="3"/>
        <v>0.482</v>
      </c>
      <c r="R10" s="50">
        <f t="shared" si="5"/>
        <v>57840</v>
      </c>
      <c r="S10" s="58">
        <f t="shared" si="4"/>
        <v>302</v>
      </c>
      <c r="T10" s="50">
        <v>10</v>
      </c>
      <c r="U10" s="50">
        <v>292</v>
      </c>
      <c r="V10" s="50">
        <v>339</v>
      </c>
      <c r="W10" s="50">
        <v>136096.5</v>
      </c>
      <c r="X10" s="50">
        <v>68141.5</v>
      </c>
      <c r="Y10" s="52">
        <f t="shared" si="6"/>
        <v>233.361301369863</v>
      </c>
    </row>
    <row r="11" ht="17" customHeight="1" spans="2:25">
      <c r="B11" s="53" t="s">
        <v>28</v>
      </c>
      <c r="C11" s="54" t="s">
        <v>35</v>
      </c>
      <c r="D11" s="55">
        <v>4</v>
      </c>
      <c r="E11" s="43">
        <v>130</v>
      </c>
      <c r="F11" s="44">
        <v>107</v>
      </c>
      <c r="G11" s="56">
        <f t="shared" si="0"/>
        <v>0.823076923076923</v>
      </c>
      <c r="H11" s="46">
        <v>63</v>
      </c>
      <c r="I11" s="57">
        <f t="shared" si="1"/>
        <v>0.588785046728972</v>
      </c>
      <c r="J11" s="48">
        <v>100</v>
      </c>
      <c r="K11" s="44">
        <v>18</v>
      </c>
      <c r="L11" s="44">
        <v>18</v>
      </c>
      <c r="M11" s="57">
        <f t="shared" si="2"/>
        <v>0.138461538461538</v>
      </c>
      <c r="N11" s="49">
        <v>180</v>
      </c>
      <c r="O11" s="50">
        <v>130000</v>
      </c>
      <c r="P11" s="50">
        <v>115158</v>
      </c>
      <c r="Q11" s="45">
        <f t="shared" si="3"/>
        <v>0.885830769230769</v>
      </c>
      <c r="R11" s="50">
        <f t="shared" si="5"/>
        <v>115158</v>
      </c>
      <c r="S11" s="58">
        <f t="shared" si="4"/>
        <v>303</v>
      </c>
      <c r="T11" s="50">
        <v>27</v>
      </c>
      <c r="U11" s="50">
        <v>276</v>
      </c>
      <c r="V11" s="50">
        <v>346</v>
      </c>
      <c r="W11" s="50">
        <v>113225.9</v>
      </c>
      <c r="X11" s="50">
        <v>74639.5</v>
      </c>
      <c r="Y11" s="52">
        <f t="shared" si="6"/>
        <v>270.432971014493</v>
      </c>
    </row>
    <row r="12" ht="17" customHeight="1" spans="2:25">
      <c r="B12" s="53" t="s">
        <v>28</v>
      </c>
      <c r="C12" s="54" t="s">
        <v>36</v>
      </c>
      <c r="D12" s="55">
        <v>4</v>
      </c>
      <c r="E12" s="43">
        <v>156</v>
      </c>
      <c r="F12" s="44">
        <v>68</v>
      </c>
      <c r="G12" s="56">
        <f t="shared" si="0"/>
        <v>0.435897435897436</v>
      </c>
      <c r="H12" s="46">
        <v>67</v>
      </c>
      <c r="I12" s="57">
        <f t="shared" si="1"/>
        <v>0.985294117647059</v>
      </c>
      <c r="J12" s="48">
        <v>80</v>
      </c>
      <c r="K12" s="44">
        <v>9</v>
      </c>
      <c r="L12" s="44">
        <v>9</v>
      </c>
      <c r="M12" s="57">
        <f t="shared" si="2"/>
        <v>0.0576923076923077</v>
      </c>
      <c r="N12" s="49">
        <v>150</v>
      </c>
      <c r="O12" s="50">
        <v>130000</v>
      </c>
      <c r="P12" s="50">
        <v>46711</v>
      </c>
      <c r="Q12" s="45">
        <f t="shared" si="3"/>
        <v>0.359315384615385</v>
      </c>
      <c r="R12" s="50">
        <f t="shared" si="5"/>
        <v>46711</v>
      </c>
      <c r="S12" s="58">
        <f t="shared" si="4"/>
        <v>277</v>
      </c>
      <c r="T12" s="50">
        <v>9</v>
      </c>
      <c r="U12" s="50">
        <v>268</v>
      </c>
      <c r="V12" s="50">
        <v>419</v>
      </c>
      <c r="W12" s="50">
        <v>126520.7</v>
      </c>
      <c r="X12" s="50">
        <v>88854.2</v>
      </c>
      <c r="Y12" s="52">
        <f t="shared" si="6"/>
        <v>331.54552238806</v>
      </c>
    </row>
    <row r="13" s="5" customFormat="1" ht="28.15" customHeight="1" spans="2:25">
      <c r="B13" s="59" t="s">
        <v>28</v>
      </c>
      <c r="C13" s="59" t="s">
        <v>37</v>
      </c>
      <c r="D13" s="60">
        <f>SUM(D5:D12)</f>
        <v>29</v>
      </c>
      <c r="E13" s="61">
        <f>SUM(E5:E12)</f>
        <v>1119</v>
      </c>
      <c r="F13" s="62">
        <f>SUM(F5:F12)</f>
        <v>829</v>
      </c>
      <c r="G13" s="63">
        <f t="shared" si="0"/>
        <v>0.740840035746202</v>
      </c>
      <c r="H13" s="62">
        <f>SUM(H5:H12)</f>
        <v>532</v>
      </c>
      <c r="I13" s="64">
        <f t="shared" si="1"/>
        <v>0.641737032569361</v>
      </c>
      <c r="J13" s="65">
        <f>SUM(J5:J12)</f>
        <v>710</v>
      </c>
      <c r="K13" s="66">
        <f>SUM(K5:K12)</f>
        <v>122</v>
      </c>
      <c r="L13" s="66">
        <f>SUM(L5:L12)</f>
        <v>122</v>
      </c>
      <c r="M13" s="67">
        <f t="shared" si="2"/>
        <v>0.109025915996425</v>
      </c>
      <c r="N13" s="68">
        <f>SUM(N5:N12)</f>
        <v>1394</v>
      </c>
      <c r="O13" s="69">
        <f>SUM(O5:O12)</f>
        <v>1020000</v>
      </c>
      <c r="P13" s="69">
        <f>SUM(P5:P12)</f>
        <v>734732</v>
      </c>
      <c r="Q13" s="70">
        <f t="shared" si="3"/>
        <v>0.720325490196078</v>
      </c>
      <c r="R13" s="71">
        <f t="shared" ref="R13:X13" si="7">SUM(R5:R12)</f>
        <v>734732</v>
      </c>
      <c r="S13" s="72">
        <f t="shared" si="7"/>
        <v>2243</v>
      </c>
      <c r="T13" s="73">
        <f t="shared" si="7"/>
        <v>110</v>
      </c>
      <c r="U13" s="73">
        <f t="shared" si="7"/>
        <v>2133</v>
      </c>
      <c r="V13" s="73">
        <f t="shared" si="7"/>
        <v>2808</v>
      </c>
      <c r="W13" s="73">
        <f t="shared" si="7"/>
        <v>1005035.5</v>
      </c>
      <c r="X13" s="73">
        <f t="shared" si="7"/>
        <v>587313.9</v>
      </c>
      <c r="Y13" s="74">
        <f t="shared" si="6"/>
        <v>275.34641350211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G$1:G$1048576 I$1:I$1048576 M$1:N$1048576 G$1:G$1048576 I$1:I$1048576 N$1:N$1048576 Q$1:S$1048576 Y$1:Y$1048576 G$1:G$1048576 I$1:I$1048576 N$1:N$1048576 G$1:G$1048576 I$1:I$1048576 N$1:N$1048576 Q$1:S$1048576 Y$1:Y$1048576" name="Range1"/>
  </protectedRanges>
  <autoFilter xmlns:etc="http://www.wps.cn/officeDocument/2017/etCustomData" ref="B4:Y13" etc:filterBottomFollowUsedRange="1">
    <extLst/>
  </autoFilter>
  <mergeCells count="29">
    <mergeCell ref="B2:D2"/>
    <mergeCell ref="E2:I2"/>
    <mergeCell ref="J2:M2"/>
    <mergeCell ref="N2:R2"/>
    <mergeCell ref="S2:Y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conditionalFormatting sqref="G5:G13 I5:I13 M5:M13">
    <cfRule type="cellIs" dxfId="0" priority="1" operator="greaterThan">
      <formula>1</formula>
    </cfRule>
  </conditionalFormatting>
  <pageMargins left="0.75" right="0.75" top="1" bottom="1" header="0.5" footer="0.5"/>
  <headerFooter/>
  <ignoredErrors>
    <ignoredError sqref="B8:J12 F7:J7 B7:D7 B6:J6 F5:J5 B5:D5 X1:Y1 B1:U1 B4:U4 B3:S3 F2:U2 B2:D2 M5:Q11 S5:S12 M12:O12 Q12 B13:T13 W13:X13 Y5:Y12 W2:Y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</sheetPr>
  <dimension ref="B1:B20"/>
  <sheetViews>
    <sheetView topLeftCell="Q35" workbookViewId="0">
      <selection activeCell="F3" sqref="F3:X3"/>
    </sheetView>
  </sheetViews>
  <sheetFormatPr defaultColWidth="9" defaultRowHeight="31.5" outlineLevelCol="1"/>
  <cols>
    <col min="1" max="1" width="1.88333333333333" style="1" customWidth="1"/>
    <col min="2" max="2" width="77" style="1" customWidth="1"/>
    <col min="3" max="3" width="1.94166666666667" style="1" customWidth="1"/>
    <col min="4" max="16384" width="9" style="1"/>
  </cols>
  <sheetData>
    <row r="1" ht="8.35" customHeight="1"/>
    <row r="2" spans="2:2">
      <c r="B2" s="2" t="s">
        <v>38</v>
      </c>
    </row>
    <row r="3" spans="2:2">
      <c r="B3" s="3" t="s">
        <v>39</v>
      </c>
    </row>
    <row r="4" spans="2:2">
      <c r="B4" s="3" t="s">
        <v>40</v>
      </c>
    </row>
    <row r="5" spans="2:2">
      <c r="B5" s="4" t="s">
        <v>41</v>
      </c>
    </row>
    <row r="6" ht="8.35" customHeight="1"/>
    <row r="7" spans="2:2">
      <c r="B7" s="2" t="s">
        <v>42</v>
      </c>
    </row>
    <row r="8" spans="2:2">
      <c r="B8" s="3" t="s">
        <v>43</v>
      </c>
    </row>
    <row r="9" spans="2:2">
      <c r="B9" s="3" t="s">
        <v>44</v>
      </c>
    </row>
    <row r="10" spans="2:2">
      <c r="B10" s="4" t="s">
        <v>45</v>
      </c>
    </row>
    <row r="11" ht="8.35" customHeight="1"/>
    <row r="12" spans="2:2">
      <c r="B12" s="2" t="s">
        <v>46</v>
      </c>
    </row>
    <row r="13" spans="2:2">
      <c r="B13" s="3" t="s">
        <v>47</v>
      </c>
    </row>
    <row r="14" spans="2:2">
      <c r="B14" s="3" t="s">
        <v>48</v>
      </c>
    </row>
    <row r="15" spans="2:2">
      <c r="B15" s="3" t="s">
        <v>49</v>
      </c>
    </row>
    <row r="16" spans="2:2">
      <c r="B16" s="3" t="s">
        <v>50</v>
      </c>
    </row>
    <row r="17" spans="2:2">
      <c r="B17" s="4" t="s">
        <v>51</v>
      </c>
    </row>
    <row r="18" ht="8.35" customHeight="1"/>
    <row r="19" spans="2:2">
      <c r="B19" s="2" t="s">
        <v>52</v>
      </c>
    </row>
    <row r="20" spans="2:2">
      <c r="B20" s="4" t="s">
        <v>53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 otherUserPermission="visible">
    <arrUserId title="Range1" rangeCreator="" othersAccessPermission="visible">
      <userID accessPermission="edit">298650756</userID>
    </arrUserId>
  </rangeList>
  <rangeList sheetStid="10" master="" otherUserPermission="visible"/>
</allowEditUser>
</file>

<file path=customXml/item2.xml>��:�:
h�Q�ё��e"CQ(�baSN�{g�~��1g
2g�~��1-2g
3g�~��1-3g
�Ndk{|�c
�lf�� R�Q͑Y�m9��N4Y:�u�y��vpe��[^+{Qu^�d\O�vu�y��v�
d��S��z�+�bp�+���+;S�+vQ�NT\O	�\Z�[��+N+N�Sd�68aSGl;`:��Npeh�Q��m9�e"��US>kn��h_N�{)
ё��h�Q�	cgq�Npeh�Q��h�v�m9�ё��T��:���V0�b�0\z�^I{:��c^�+0W�c+�ۏI{�~N�c^{|:��~��[�N�~g�S0R�^�v:��&^�e1�N*g0R�^��~
Nl�&���__aS:�T�k�X��s,ggpe - 
Nt^Tgpe
Nt^Tgpe:�,gg�vMRN*Ngpenc
�s(W/f1g�
NgR/f12g	�
�s(W/f2g�
NgR/f1g	�
�Ndk{|�c:��s�k�X��s,ggpe - 
Ngpe
Ngpe:�:
h�Q�ё��e"CQ(�baSN�{g�~��1g
2g�~��1-2g
3g�~��1-3g
�Ndk{|�c
�lf�� R�Q͑Y�m9��N4Y:�u�y��vpe:�:
h�Q�ё��e"CQ(�baSN�{g�~��1g
2g�~��1-2g
3g�~��1-3g
�Ndk{|�c
�lf�� R�Q͑Y�m9��N4Y:�:
��[^�d\O�vu�y��v�
�bLr�Kb�l	�
�sLr��[	T=N+{Qu+�(WN�e+�OHY	�:�:
h�Q�ё��e"CQ(�baSN�{g�~��1g
2g�~��1-2g
3g�~��1-3g
�Ndk{|�c
�lf�� R�Q͑Y�m9��N4Y��[^+{Qu^�d\O�vu�y��v�
d��S��z�+�bp�+���+;S�+vQ�NT\O	�:�:
h�Q�ё��e"CQ(�baSN�{g�~��1g
2g�~��1-2g
3g�~��1-3g
�Ndk{|�c
�lf�� R�Q͑Y�m9��N4Y��[^+{Qu^�d\O�vu�y��v�
d��S��z�+�bp�+���+;S�+vQ�NT\O	�
</file>

<file path=customXml/item3.xml>��gg]N_lggWSfWSfWSf;`�!�t^ggggggggg�!��!�ggggg]N_l=N���^�_PN�^�h�`�^T��v�^�_l�^?����^gggWSfWSfWSf;`gg]N_lgggggg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customXml/itemProps5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WWO_wpscloud_20260901155319-997daf6cd0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凤御·经营</vt:lpstr>
      <vt:lpstr>附件(标准）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张小呆。</cp:lastModifiedBy>
  <dcterms:created xsi:type="dcterms:W3CDTF">2026-01-21T19:48:00Z</dcterms:created>
  <dcterms:modified xsi:type="dcterms:W3CDTF">2026-09-08T01:06:10Z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930A5E63ACA043E09437084028DF1D81_11</vt:lpwstr>
  </property>
  <property fmtid="{D5CDD505-2E9C-101B-9397-08002B2CF9AE}" pid="4" name="KSOProductBuildVer">
    <vt:lpwstr>2052-12.1.0.28505</vt:lpwstr>
  </property>
</Properties>
</file>